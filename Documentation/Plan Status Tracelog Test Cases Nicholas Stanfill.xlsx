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istrator\Documents\School\CST-452\"/>
    </mc:Choice>
  </mc:AlternateContent>
  <xr:revisionPtr revIDLastSave="0" documentId="13_ncr:1_{03A7BFCF-1B91-49E3-8BC2-E4AFA7637343}" xr6:coauthVersionLast="47" xr6:coauthVersionMax="47" xr10:uidLastSave="{00000000-0000-0000-0000-000000000000}"/>
  <bookViews>
    <workbookView xWindow="-28920" yWindow="1965" windowWidth="29040" windowHeight="16440" firstSheet="2" activeTab="9" xr2:uid="{E51A4DEF-6D87-4B3C-B46D-0827E850851B}"/>
  </bookViews>
  <sheets>
    <sheet name="User Stories Backlog" sheetId="9" r:id="rId1"/>
    <sheet name="Non-Functional Requirements" sheetId="10" r:id="rId2"/>
    <sheet name="Technical Requirements" sheetId="11" r:id="rId3"/>
    <sheet name="Implementation Plan" sheetId="8" r:id="rId4"/>
    <sheet name="Test Case #1" sheetId="1" r:id="rId5"/>
    <sheet name="Test Case #2" sheetId="2" r:id="rId6"/>
    <sheet name="Test Case #3" sheetId="3" r:id="rId7"/>
    <sheet name="Test Case #4" sheetId="4" r:id="rId8"/>
    <sheet name="Test Case #5" sheetId="5" r:id="rId9"/>
    <sheet name="Test Case #6" sheetId="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1" i="8" l="1"/>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H41" i="8"/>
  <c r="J9" i="8"/>
  <c r="J49" i="8"/>
  <c r="H40" i="8"/>
  <c r="J48" i="8"/>
  <c r="H39" i="8"/>
  <c r="J47" i="8"/>
  <c r="H38" i="8"/>
  <c r="J46" i="8"/>
  <c r="H37" i="8"/>
  <c r="J45" i="8"/>
  <c r="H36" i="8"/>
  <c r="J44" i="8"/>
  <c r="H35" i="8"/>
  <c r="J43" i="8"/>
  <c r="H34" i="8"/>
  <c r="J42" i="8"/>
  <c r="H33" i="8"/>
  <c r="J41" i="8"/>
  <c r="H32" i="8"/>
  <c r="J39" i="8"/>
  <c r="H31" i="8"/>
  <c r="J38" i="8"/>
  <c r="H30" i="8"/>
  <c r="J37" i="8"/>
  <c r="H29" i="8"/>
  <c r="J34" i="8"/>
  <c r="H28" i="8"/>
  <c r="J33" i="8"/>
  <c r="H27" i="8"/>
  <c r="J32" i="8"/>
  <c r="H26" i="8"/>
  <c r="J31" i="8"/>
  <c r="H25" i="8"/>
  <c r="J30" i="8"/>
  <c r="H24" i="8"/>
  <c r="J28" i="8"/>
  <c r="H23" i="8"/>
  <c r="J27" i="8"/>
  <c r="H22" i="8"/>
  <c r="J26" i="8"/>
  <c r="H21" i="8"/>
  <c r="J25" i="8"/>
  <c r="H20" i="8"/>
  <c r="J24" i="8"/>
  <c r="H19" i="8"/>
  <c r="J23" i="8"/>
  <c r="H18" i="8"/>
  <c r="J22" i="8"/>
  <c r="H17" i="8"/>
  <c r="J21" i="8"/>
  <c r="H16" i="8"/>
  <c r="J20" i="8"/>
  <c r="H15" i="8"/>
  <c r="J19" i="8"/>
  <c r="H14" i="8"/>
  <c r="J18" i="8"/>
  <c r="H13" i="8"/>
  <c r="J17" i="8"/>
  <c r="H12" i="8"/>
  <c r="J16" i="8"/>
  <c r="H11" i="8"/>
  <c r="J15" i="8"/>
  <c r="H10" i="8"/>
  <c r="J14" i="8"/>
  <c r="H9" i="8"/>
  <c r="J13" i="8"/>
  <c r="H8" i="8"/>
  <c r="J12" i="8"/>
  <c r="H7" i="8"/>
  <c r="J11" i="8"/>
  <c r="H6" i="8"/>
  <c r="J10" i="8"/>
  <c r="H5" i="8"/>
  <c r="H4" i="8"/>
</calcChain>
</file>

<file path=xl/sharedStrings.xml><?xml version="1.0" encoding="utf-8"?>
<sst xmlns="http://schemas.openxmlformats.org/spreadsheetml/2006/main" count="432" uniqueCount="196">
  <si>
    <t>Project Name:</t>
  </si>
  <si>
    <t>Release Version:</t>
  </si>
  <si>
    <t>Module Name:</t>
  </si>
  <si>
    <t>Online Food Portal</t>
  </si>
  <si>
    <t>Test Designed By:</t>
  </si>
  <si>
    <t>Test Designed Date:</t>
  </si>
  <si>
    <t>Test Executed By:</t>
  </si>
  <si>
    <t>Test Execution Date:</t>
  </si>
  <si>
    <t>Nicholas Stanfill</t>
  </si>
  <si>
    <t>Test Case #</t>
  </si>
  <si>
    <t>Test Title</t>
  </si>
  <si>
    <t>Test Steps</t>
  </si>
  <si>
    <t>Test Data</t>
  </si>
  <si>
    <t>Expected Result</t>
  </si>
  <si>
    <t>Actual Result</t>
  </si>
  <si>
    <t>Pass/Fail Status</t>
  </si>
  <si>
    <t>Notes</t>
  </si>
  <si>
    <t>Item &amp; Modification Services</t>
  </si>
  <si>
    <t>Order Service</t>
  </si>
  <si>
    <t>Password Service</t>
  </si>
  <si>
    <t>Store Settings Service</t>
  </si>
  <si>
    <t>User Service</t>
  </si>
  <si>
    <t>Item/Modification CRUD</t>
  </si>
  <si>
    <t>Item and modification are automatically generated and updated</t>
  </si>
  <si>
    <t>Test Results: Pass
18 unit tests, each Pass</t>
  </si>
  <si>
    <t>PASS</t>
  </si>
  <si>
    <t>Order CRUD</t>
  </si>
  <si>
    <t>Navigate to &lt;address&gt;/Test
Press [Item/Modification CRUD]</t>
  </si>
  <si>
    <t>Navigate to &lt;address&gt;/Test
Press [Order CRUD]</t>
  </si>
  <si>
    <t>Order is automatically created and updated</t>
  </si>
  <si>
    <t>Test Results: Pass
6 unit tests, each Pass</t>
  </si>
  <si>
    <t>Password Encryption</t>
  </si>
  <si>
    <t>Navigate to &lt;address&gt;/Test
Press [Password Encryption]</t>
  </si>
  <si>
    <t>The password is automatically generated</t>
  </si>
  <si>
    <t>Test Results: Pass
2 unit tests, each Pass</t>
  </si>
  <si>
    <t>The test is performed automatically with each change being verified by comparing the properties of the created object in memory and the retrieved object from the database
The unit tests pass based on rows affected in the database or successfully comparing all properties
Creates, reads, and updates an item
Creates, reads, and updates a modification
Deletes the modification, then recreates the modification
Deletes the item, with cascade deleting the modification</t>
  </si>
  <si>
    <t>The test is performed automatically with each change being verified by comparing the properties of the created object in memory and the retrieved object from the database
The unit tests pass based on rows affected in the database or successfully comparing all properties
Creates, reads, updates, and deletes an order</t>
  </si>
  <si>
    <t>The test is performed automatically
Generates a random password and encrypts the password
If the generated password does not match the encrypted password, then the encryption is successful. Outputs the generated password and encrypted password
If the generated password is verified as matching the encrypted password, the verification is successful</t>
  </si>
  <si>
    <t>Store Settings RU</t>
  </si>
  <si>
    <t>Navigate to &lt;address&gt;/Test
Press [Store Settings RU]</t>
  </si>
  <si>
    <t>The new store settings are automatically generated</t>
  </si>
  <si>
    <t>The test is performed automatically. Creates a backup of the original settings and replaces them after the test
The store settings are randomly generated, updated in the database, and verified through retrieval from the database</t>
  </si>
  <si>
    <t>User CRD</t>
  </si>
  <si>
    <t>The user is automatically generated with a random name to avoid affecting an existing user</t>
  </si>
  <si>
    <t>Test Results: Pass
4 unit tests, each Pass</t>
  </si>
  <si>
    <t>The test is performed automatically
Generates a random user, verifies the user exists in the database, deletes the user, and verifies the user no longer exists</t>
  </si>
  <si>
    <t>ASP.NET Core Identity</t>
  </si>
  <si>
    <t>User Registration and Login</t>
  </si>
  <si>
    <t>Use a random username, it must be unique
The other information can be the same</t>
  </si>
  <si>
    <t>Register as a new user
Logout
Log back in
Navigate to other pages</t>
  </si>
  <si>
    <t>Username appears at the top after registeration, logging in, or navigating
Username does not show when logged out</t>
  </si>
  <si>
    <t>Confirms the ASP.Net Core Identity framework is using the MySQL server, cookies are used to maintain authentication, and the logout process functions
Optionally, restart the application when logged in to confirm cookie functionality (PASS)
Optionally, stop the application and wait 30 minutes before restarting to confirm cookie expiration (PASS)
Optionally, wait 20 minutes after logging in to confirm cookie life before navigating then wait 20 more minutes before navigating to confirm sliding cookie expiration (PASS)</t>
  </si>
  <si>
    <t>ID</t>
  </si>
  <si>
    <t>Functional Requirement</t>
  </si>
  <si>
    <t>Assignee</t>
  </si>
  <si>
    <t>Estimate (hours)</t>
  </si>
  <si>
    <t>Planned Start Date</t>
  </si>
  <si>
    <t>Planned Completion Date</t>
  </si>
  <si>
    <t>Status</t>
  </si>
  <si>
    <t>Authentication database</t>
  </si>
  <si>
    <t>Nicholas</t>
  </si>
  <si>
    <t>Complete</t>
  </si>
  <si>
    <t>Linked order database</t>
  </si>
  <si>
    <t>Store settings database</t>
  </si>
  <si>
    <t>Registration view</t>
  </si>
  <si>
    <t>Login view</t>
  </si>
  <si>
    <t>Menu display view for users</t>
  </si>
  <si>
    <t>Item modification view for users</t>
  </si>
  <si>
    <t>Cart view</t>
  </si>
  <si>
    <t>Order tracking view for users</t>
  </si>
  <si>
    <t>Order tracking view for kitchen</t>
  </si>
  <si>
    <t>Past order view for kitchen</t>
  </si>
  <si>
    <t>Selected order view for kitchen</t>
  </si>
  <si>
    <t>Menu display view for administrators</t>
  </si>
  <si>
    <t>Item creation/modification view</t>
  </si>
  <si>
    <t>Store settings view</t>
  </si>
  <si>
    <t>Authentication controller</t>
  </si>
  <si>
    <t>User controller - menu</t>
  </si>
  <si>
    <t>User controller - item modification GET and POST</t>
  </si>
  <si>
    <t>User controller - cart</t>
  </si>
  <si>
    <t>User controller - checkout</t>
  </si>
  <si>
    <t>User controller - past orders</t>
  </si>
  <si>
    <t>Kitchen controller - order tracking</t>
  </si>
  <si>
    <t>Kitchen controller - past orders</t>
  </si>
  <si>
    <t>Kitchen controller - selected order GET and POST</t>
  </si>
  <si>
    <t>Admin controller - menu</t>
  </si>
  <si>
    <t>Admin controller - item creation/modification GET and POST</t>
  </si>
  <si>
    <t>Admin controller - Store settings GET and POST</t>
  </si>
  <si>
    <t>Authentication service - register and login</t>
  </si>
  <si>
    <t>Item service - CRUD</t>
  </si>
  <si>
    <t>Modification service - CRUD</t>
  </si>
  <si>
    <t>Order service - CRUD</t>
  </si>
  <si>
    <t>Store service - CRUD</t>
  </si>
  <si>
    <t>Item &amp; Modification CRUD unit tests</t>
  </si>
  <si>
    <t>Order CRUD unit tests</t>
  </si>
  <si>
    <t>Store settings CRUD unit test</t>
  </si>
  <si>
    <t>Feature Backlog</t>
  </si>
  <si>
    <t>Description</t>
  </si>
  <si>
    <t>US1</t>
  </si>
  <si>
    <t>As a user, I want to submit orders – for ordering food online.</t>
  </si>
  <si>
    <t>US2</t>
  </si>
  <si>
    <t>As a user, I want to modify and cancel orders in progress – for changing my mind.</t>
  </si>
  <si>
    <t>US3</t>
  </si>
  <si>
    <t>As a user, I want a short window for cancelling submitted orders – for change of plans.</t>
  </si>
  <si>
    <t>US4</t>
  </si>
  <si>
    <t>As a developer, I want a unified database – for connecting users and kitchen staff to orders.</t>
  </si>
  <si>
    <t>US5</t>
  </si>
  <si>
    <t>US6</t>
  </si>
  <si>
    <t>As an administrator, I want to change ordering hours – for changes to the restaurant hours.</t>
  </si>
  <si>
    <t>US7</t>
  </si>
  <si>
    <t>As a cook, I want a simplified order screen – for tracking orders in progress.</t>
  </si>
  <si>
    <t>US8</t>
  </si>
  <si>
    <t>US9</t>
  </si>
  <si>
    <t>As a cook, I want to complete orders and notify customers – for clearing tickets and letting customers know their order is ready.</t>
  </si>
  <si>
    <t>US10</t>
  </si>
  <si>
    <t>As an owner, I want daily reports on sales – for business needs and knowing which items are popular.</t>
  </si>
  <si>
    <t>US11</t>
  </si>
  <si>
    <t>As a developer, I want a login system – for separating users, administrators, and kitchen staff.</t>
  </si>
  <si>
    <t>US12</t>
  </si>
  <si>
    <t>As an owner, I want a third-party payment system – for processing payments securely, handling refunds, and securing user payment information offsite.</t>
  </si>
  <si>
    <t>US13</t>
  </si>
  <si>
    <t>As an owner, I want a donation option – for charitable donations direct to charities.</t>
  </si>
  <si>
    <t>US14</t>
  </si>
  <si>
    <t>As a user, I want an account – for tracking current and previous orders.</t>
  </si>
  <si>
    <t>US15</t>
  </si>
  <si>
    <t>As a user, I want the site to be accessible – for accommodating disabilities.</t>
  </si>
  <si>
    <t>US16</t>
  </si>
  <si>
    <t>As a user, I want the site to be secure – for protecting my privacy and login information.</t>
  </si>
  <si>
    <t>US17</t>
  </si>
  <si>
    <t>As a developer, I want unit tests – for checking the system is functional after changes are implemented.</t>
  </si>
  <si>
    <t>Backlogged</t>
  </si>
  <si>
    <t>As an administrator, I want to create, read, update, and hide available items – for changes to the kitchen menu and item availability.</t>
  </si>
  <si>
    <t>Non-Functional Requirements</t>
  </si>
  <si>
    <t>User Story ID(s)</t>
  </si>
  <si>
    <t>NFR1</t>
  </si>
  <si>
    <t>Users can create and access an account for order tracking</t>
  </si>
  <si>
    <t>US2, US3, US9, US11, US14</t>
  </si>
  <si>
    <t>NFR2</t>
  </si>
  <si>
    <t>Users can create, read, update, and delete new orders</t>
  </si>
  <si>
    <t>US1, US2, US3</t>
  </si>
  <si>
    <t>NFR3</t>
  </si>
  <si>
    <t>Users can cancel submitted orders for a short time after submission</t>
  </si>
  <si>
    <t>NFR4</t>
  </si>
  <si>
    <t>Users can opt to create a charitable donation when processing their payment</t>
  </si>
  <si>
    <t>NFR5</t>
  </si>
  <si>
    <t>Kitchen staff can track orders in progress</t>
  </si>
  <si>
    <t>NFR6</t>
  </si>
  <si>
    <t>NFR7</t>
  </si>
  <si>
    <t>Kitchen staff can complete orders and notify customers</t>
  </si>
  <si>
    <t>NFR8</t>
  </si>
  <si>
    <t>Users can receive a notification that their order is ready</t>
  </si>
  <si>
    <t>NFR9</t>
  </si>
  <si>
    <t>NFR10</t>
  </si>
  <si>
    <t>Administrators can update ordering hours</t>
  </si>
  <si>
    <t>NFR11</t>
  </si>
  <si>
    <t>Administrators can generate or retrieve various reports</t>
  </si>
  <si>
    <t>NFR12</t>
  </si>
  <si>
    <t>Users can access the site regardless of handicaps or device</t>
  </si>
  <si>
    <t>NFR13</t>
  </si>
  <si>
    <t>Users can securely access the site</t>
  </si>
  <si>
    <t>NFR14</t>
  </si>
  <si>
    <t>Users can pay through a third-party payment system</t>
  </si>
  <si>
    <t>NFR15</t>
  </si>
  <si>
    <t>Kitchen staff can cancel submitted orders</t>
  </si>
  <si>
    <t>Administrators can create, read, update, and hide items available on the menu</t>
  </si>
  <si>
    <t>Developers can test by component</t>
  </si>
  <si>
    <t>User controller - current order GET and POST</t>
  </si>
  <si>
    <t>User service - CRD</t>
  </si>
  <si>
    <t>Password encryption unit test</t>
  </si>
  <si>
    <t>As a cook, I want to cancel submitted orders – for invalid orders or orders that cannot be fulfilled.</t>
  </si>
  <si>
    <t>Implementation Plan</t>
  </si>
  <si>
    <t>Non-Functional Requirement ID(s)</t>
  </si>
  <si>
    <t>1, 13</t>
  </si>
  <si>
    <t>6, 7</t>
  </si>
  <si>
    <t>1, 5</t>
  </si>
  <si>
    <t>1, 7-9, 14</t>
  </si>
  <si>
    <t>5, 7</t>
  </si>
  <si>
    <t>2, 9</t>
  </si>
  <si>
    <t>2, 3, 5, 6, 7, 8</t>
  </si>
  <si>
    <t>2, 8</t>
  </si>
  <si>
    <t>TR1</t>
  </si>
  <si>
    <t>Unified database for items, users, and orders</t>
  </si>
  <si>
    <t>TR2</t>
  </si>
  <si>
    <t>Website for allowing users to create, read, modify, and monitor orders; and create and login to account</t>
  </si>
  <si>
    <t>US1, US14, US16</t>
  </si>
  <si>
    <t>TR3</t>
  </si>
  <si>
    <t>Website for kitchen staff to view, cancel, and complete orders</t>
  </si>
  <si>
    <t>US7, US8, US9</t>
  </si>
  <si>
    <t>TR4</t>
  </si>
  <si>
    <t>Website for administrators to create, read, update, and hide items; and update store hours</t>
  </si>
  <si>
    <t>US5, US6</t>
  </si>
  <si>
    <t>TR5</t>
  </si>
  <si>
    <t>Link the systems using authentication to differentiate between front ends, update the database for each action, and allow users to track orders in progress</t>
  </si>
  <si>
    <t>US1, US4, US5, US6, US7, US8, US9, US11, US14, US16</t>
  </si>
  <si>
    <t>Functional Requirements</t>
  </si>
  <si>
    <t>Navigate to &lt;address&gt;/Test
Press [User CRD]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</si>
</sst>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5700"/>
      <name val="Aptos Narrow"/>
      <family val="2"/>
      <scheme val="minor"/>
    </font>
    <font>
      <sz val="11"/>
      <color rgb="FF3F3F76"/>
      <name val="Aptos Narrow"/>
      <family val="2"/>
      <scheme val="minor"/>
    </font>
    <font>
      <b/>
      <sz val="11"/>
      <color theme="0"/>
      <name val="Aptos Narrow"/>
      <family val="2"/>
      <scheme val="minor"/>
    </font>
    <font>
      <sz val="11"/>
      <color theme="0"/>
      <name val="Aptos Narrow"/>
      <family val="2"/>
      <scheme val="minor"/>
    </font>
  </fonts>
  <fills count="7">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4" tint="0.39997558519241921"/>
        <bgColor indexed="65"/>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diagonal/>
    </border>
    <border>
      <left style="thin">
        <color indexed="64"/>
      </left>
      <right style="thin">
        <color indexed="64"/>
      </right>
      <top style="thin">
        <color indexed="64"/>
      </top>
      <bottom style="thin">
        <color indexed="64"/>
      </bottom>
      <diagonal/>
    </border>
    <border>
      <left style="thin">
        <color rgb="FF7F7F7F"/>
      </left>
      <right/>
      <top style="thin">
        <color rgb="FF7F7F7F"/>
      </top>
      <bottom/>
      <diagonal/>
    </border>
    <border>
      <left style="thin">
        <color indexed="64"/>
      </left>
      <right/>
      <top style="thin">
        <color indexed="64"/>
      </top>
      <bottom style="thin">
        <color indexed="64"/>
      </bottom>
      <diagonal/>
    </border>
    <border>
      <left style="double">
        <color rgb="FF3F3F3F"/>
      </left>
      <right style="double">
        <color rgb="FF3F3F3F"/>
      </right>
      <top style="double">
        <color rgb="FF3F3F3F"/>
      </top>
      <bottom/>
      <diagonal/>
    </border>
    <border>
      <left style="thin">
        <color rgb="FF7F7F7F"/>
      </left>
      <right style="thin">
        <color indexed="64"/>
      </right>
      <top style="thin">
        <color rgb="FF7F7F7F"/>
      </top>
      <bottom/>
      <diagonal/>
    </border>
  </borders>
  <cellStyleXfs count="6">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5" fillId="5" borderId="2" applyNumberFormat="0" applyAlignment="0" applyProtection="0"/>
    <xf numFmtId="0" fontId="1" fillId="6" borderId="0" applyNumberFormat="0" applyBorder="0" applyAlignment="0" applyProtection="0"/>
  </cellStyleXfs>
  <cellXfs count="20">
    <xf numFmtId="0" fontId="0" fillId="0" borderId="0" xfId="0"/>
    <xf numFmtId="0" fontId="3" fillId="3" borderId="0" xfId="2"/>
    <xf numFmtId="0" fontId="3" fillId="3" borderId="0" xfId="2" applyBorder="1"/>
    <xf numFmtId="0" fontId="4" fillId="4" borderId="3" xfId="3" applyBorder="1"/>
    <xf numFmtId="0" fontId="2" fillId="2" borderId="4" xfId="1" applyBorder="1"/>
    <xf numFmtId="0" fontId="4" fillId="4" borderId="4" xfId="3" applyBorder="1"/>
    <xf numFmtId="0" fontId="3" fillId="3" borderId="3" xfId="2" applyBorder="1"/>
    <xf numFmtId="14" fontId="2" fillId="2" borderId="4" xfId="1" applyNumberFormat="1" applyBorder="1"/>
    <xf numFmtId="0" fontId="6" fillId="0" borderId="0" xfId="0" applyFont="1"/>
    <xf numFmtId="0" fontId="2" fillId="2" borderId="4" xfId="1" applyBorder="1" applyAlignment="1">
      <alignment horizontal="left"/>
    </xf>
    <xf numFmtId="0" fontId="2" fillId="2" borderId="4" xfId="1" applyBorder="1"/>
    <xf numFmtId="0" fontId="4" fillId="4" borderId="3" xfId="3" applyBorder="1"/>
    <xf numFmtId="0" fontId="4" fillId="4" borderId="5" xfId="3" applyBorder="1"/>
    <xf numFmtId="0" fontId="2" fillId="2" borderId="6" xfId="1" applyBorder="1"/>
    <xf numFmtId="0" fontId="5" fillId="5" borderId="7" xfId="4" applyBorder="1"/>
    <xf numFmtId="0" fontId="0" fillId="0" borderId="4" xfId="0" applyBorder="1" applyAlignment="1">
      <alignment horizontal="left" vertical="top" wrapText="1"/>
    </xf>
    <xf numFmtId="0" fontId="1" fillId="6" borderId="4" xfId="5" applyBorder="1" applyAlignment="1">
      <alignment horizontal="left"/>
    </xf>
    <xf numFmtId="14" fontId="1" fillId="6" borderId="4" xfId="5" applyNumberFormat="1" applyBorder="1" applyAlignment="1">
      <alignment horizontal="left"/>
    </xf>
    <xf numFmtId="0" fontId="2" fillId="2" borderId="4" xfId="1" applyBorder="1" applyAlignment="1">
      <alignment wrapText="1"/>
    </xf>
    <xf numFmtId="0" fontId="4" fillId="4" borderId="8" xfId="3" applyBorder="1"/>
  </cellXfs>
  <cellStyles count="6">
    <cellStyle name="60% - Accent1" xfId="5" builtinId="32"/>
    <cellStyle name="Check Cell" xfId="4" builtinId="23"/>
    <cellStyle name="Good" xfId="1" builtinId="26"/>
    <cellStyle name="Input" xfId="3"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20</xdr:row>
      <xdr:rowOff>95250</xdr:rowOff>
    </xdr:from>
    <xdr:to>
      <xdr:col>5</xdr:col>
      <xdr:colOff>504393</xdr:colOff>
      <xdr:row>58</xdr:row>
      <xdr:rowOff>141964</xdr:rowOff>
    </xdr:to>
    <xdr:pic>
      <xdr:nvPicPr>
        <xdr:cNvPr id="2" name="Picture 1">
          <a:extLst>
            <a:ext uri="{FF2B5EF4-FFF2-40B4-BE49-F238E27FC236}">
              <a16:creationId xmlns:a16="http://schemas.microsoft.com/office/drawing/2014/main" id="{D9AD332E-CEC6-F13E-6D2E-F3334C464DC1}"/>
            </a:ext>
          </a:extLst>
        </xdr:cNvPr>
        <xdr:cNvPicPr>
          <a:picLocks noChangeAspect="1"/>
        </xdr:cNvPicPr>
      </xdr:nvPicPr>
      <xdr:blipFill>
        <a:blip xmlns:r="http://schemas.openxmlformats.org/officeDocument/2006/relationships" r:embed="rId1"/>
        <a:stretch>
          <a:fillRect/>
        </a:stretch>
      </xdr:blipFill>
      <xdr:spPr>
        <a:xfrm>
          <a:off x="95250" y="3905250"/>
          <a:ext cx="3457143" cy="7285714"/>
        </a:xfrm>
        <a:prstGeom prst="rect">
          <a:avLst/>
        </a:prstGeom>
      </xdr:spPr>
    </xdr:pic>
    <xdr:clientData/>
  </xdr:twoCellAnchor>
  <xdr:twoCellAnchor editAs="oneCell">
    <xdr:from>
      <xdr:col>6</xdr:col>
      <xdr:colOff>152400</xdr:colOff>
      <xdr:row>20</xdr:row>
      <xdr:rowOff>123825</xdr:rowOff>
    </xdr:from>
    <xdr:to>
      <xdr:col>11</xdr:col>
      <xdr:colOff>456781</xdr:colOff>
      <xdr:row>36</xdr:row>
      <xdr:rowOff>66301</xdr:rowOff>
    </xdr:to>
    <xdr:pic>
      <xdr:nvPicPr>
        <xdr:cNvPr id="3" name="Picture 2">
          <a:extLst>
            <a:ext uri="{FF2B5EF4-FFF2-40B4-BE49-F238E27FC236}">
              <a16:creationId xmlns:a16="http://schemas.microsoft.com/office/drawing/2014/main" id="{FA1C619E-0DF1-866D-9E5A-39E75F73F107}"/>
            </a:ext>
          </a:extLst>
        </xdr:cNvPr>
        <xdr:cNvPicPr>
          <a:picLocks noChangeAspect="1"/>
        </xdr:cNvPicPr>
      </xdr:nvPicPr>
      <xdr:blipFill>
        <a:blip xmlns:r="http://schemas.openxmlformats.org/officeDocument/2006/relationships" r:embed="rId2"/>
        <a:stretch>
          <a:fillRect/>
        </a:stretch>
      </xdr:blipFill>
      <xdr:spPr>
        <a:xfrm>
          <a:off x="3810000" y="3933825"/>
          <a:ext cx="3352381" cy="29904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20</xdr:row>
      <xdr:rowOff>66675</xdr:rowOff>
    </xdr:from>
    <xdr:to>
      <xdr:col>4</xdr:col>
      <xdr:colOff>285418</xdr:colOff>
      <xdr:row>42</xdr:row>
      <xdr:rowOff>75675</xdr:rowOff>
    </xdr:to>
    <xdr:pic>
      <xdr:nvPicPr>
        <xdr:cNvPr id="2" name="Picture 1">
          <a:extLst>
            <a:ext uri="{FF2B5EF4-FFF2-40B4-BE49-F238E27FC236}">
              <a16:creationId xmlns:a16="http://schemas.microsoft.com/office/drawing/2014/main" id="{D4CED939-D37A-854C-617E-7781BB7C4C9A}"/>
            </a:ext>
          </a:extLst>
        </xdr:cNvPr>
        <xdr:cNvPicPr>
          <a:picLocks noChangeAspect="1"/>
        </xdr:cNvPicPr>
      </xdr:nvPicPr>
      <xdr:blipFill>
        <a:blip xmlns:r="http://schemas.openxmlformats.org/officeDocument/2006/relationships" r:embed="rId1"/>
        <a:stretch>
          <a:fillRect/>
        </a:stretch>
      </xdr:blipFill>
      <xdr:spPr>
        <a:xfrm>
          <a:off x="66675" y="3876675"/>
          <a:ext cx="2657143" cy="42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20</xdr:row>
      <xdr:rowOff>142875</xdr:rowOff>
    </xdr:from>
    <xdr:to>
      <xdr:col>13</xdr:col>
      <xdr:colOff>75218</xdr:colOff>
      <xdr:row>32</xdr:row>
      <xdr:rowOff>66399</xdr:rowOff>
    </xdr:to>
    <xdr:pic>
      <xdr:nvPicPr>
        <xdr:cNvPr id="2" name="Picture 1">
          <a:extLst>
            <a:ext uri="{FF2B5EF4-FFF2-40B4-BE49-F238E27FC236}">
              <a16:creationId xmlns:a16="http://schemas.microsoft.com/office/drawing/2014/main" id="{1214A2D4-D555-D999-AF97-E999ABBF7314}"/>
            </a:ext>
          </a:extLst>
        </xdr:cNvPr>
        <xdr:cNvPicPr>
          <a:picLocks noChangeAspect="1"/>
        </xdr:cNvPicPr>
      </xdr:nvPicPr>
      <xdr:blipFill>
        <a:blip xmlns:r="http://schemas.openxmlformats.org/officeDocument/2006/relationships" r:embed="rId1"/>
        <a:stretch>
          <a:fillRect/>
        </a:stretch>
      </xdr:blipFill>
      <xdr:spPr>
        <a:xfrm>
          <a:off x="142875" y="3952875"/>
          <a:ext cx="7857143" cy="22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20</xdr:row>
      <xdr:rowOff>76200</xdr:rowOff>
    </xdr:from>
    <xdr:to>
      <xdr:col>4</xdr:col>
      <xdr:colOff>533037</xdr:colOff>
      <xdr:row>30</xdr:row>
      <xdr:rowOff>47390</xdr:rowOff>
    </xdr:to>
    <xdr:pic>
      <xdr:nvPicPr>
        <xdr:cNvPr id="2" name="Picture 1">
          <a:extLst>
            <a:ext uri="{FF2B5EF4-FFF2-40B4-BE49-F238E27FC236}">
              <a16:creationId xmlns:a16="http://schemas.microsoft.com/office/drawing/2014/main" id="{33340BC7-9DD4-5C23-F51C-2CE670861A74}"/>
            </a:ext>
          </a:extLst>
        </xdr:cNvPr>
        <xdr:cNvPicPr>
          <a:picLocks noChangeAspect="1"/>
        </xdr:cNvPicPr>
      </xdr:nvPicPr>
      <xdr:blipFill>
        <a:blip xmlns:r="http://schemas.openxmlformats.org/officeDocument/2006/relationships" r:embed="rId1"/>
        <a:stretch>
          <a:fillRect/>
        </a:stretch>
      </xdr:blipFill>
      <xdr:spPr>
        <a:xfrm>
          <a:off x="66675" y="3886200"/>
          <a:ext cx="2904762" cy="18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85725</xdr:colOff>
      <xdr:row>20</xdr:row>
      <xdr:rowOff>76200</xdr:rowOff>
    </xdr:from>
    <xdr:to>
      <xdr:col>5</xdr:col>
      <xdr:colOff>332963</xdr:colOff>
      <xdr:row>38</xdr:row>
      <xdr:rowOff>75771</xdr:rowOff>
    </xdr:to>
    <xdr:pic>
      <xdr:nvPicPr>
        <xdr:cNvPr id="2" name="Picture 1">
          <a:extLst>
            <a:ext uri="{FF2B5EF4-FFF2-40B4-BE49-F238E27FC236}">
              <a16:creationId xmlns:a16="http://schemas.microsoft.com/office/drawing/2014/main" id="{73771972-4137-6A7E-2A94-1AB3863CEDBC}"/>
            </a:ext>
          </a:extLst>
        </xdr:cNvPr>
        <xdr:cNvPicPr>
          <a:picLocks noChangeAspect="1"/>
        </xdr:cNvPicPr>
      </xdr:nvPicPr>
      <xdr:blipFill>
        <a:blip xmlns:r="http://schemas.openxmlformats.org/officeDocument/2006/relationships" r:embed="rId1"/>
        <a:stretch>
          <a:fillRect/>
        </a:stretch>
      </xdr:blipFill>
      <xdr:spPr>
        <a:xfrm>
          <a:off x="85725" y="3886200"/>
          <a:ext cx="3295238" cy="34285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D2E-EA1F-4532-833D-134B3FBB84DC}">
  <dimension ref="A1:Q20"/>
  <sheetViews>
    <sheetView zoomScale="130" zoomScaleNormal="130" workbookViewId="0">
      <selection activeCell="Q7" sqref="Q7"/>
    </sheetView>
  </sheetViews>
  <sheetFormatPr defaultRowHeight="15" x14ac:dyDescent="0.25"/>
  <cols>
    <col min="17" max="17" width="17.42578125" customWidth="1"/>
  </cols>
  <sheetData>
    <row r="1" spans="1:17" x14ac:dyDescent="0.25">
      <c r="A1" s="1" t="s">
        <v>96</v>
      </c>
      <c r="B1" s="1"/>
      <c r="C1" s="1"/>
      <c r="D1" s="1"/>
      <c r="E1" s="1"/>
      <c r="F1" s="1"/>
      <c r="G1" s="1"/>
      <c r="H1" s="1"/>
      <c r="I1" s="1"/>
      <c r="J1" s="1"/>
      <c r="K1" s="1"/>
      <c r="L1" s="1"/>
      <c r="M1" s="1"/>
      <c r="N1" s="1"/>
      <c r="O1" s="1"/>
      <c r="P1" s="1"/>
      <c r="Q1" s="1"/>
    </row>
    <row r="3" spans="1:17" x14ac:dyDescent="0.25">
      <c r="A3" s="3" t="s">
        <v>52</v>
      </c>
      <c r="B3" s="11" t="s">
        <v>97</v>
      </c>
      <c r="C3" s="11"/>
      <c r="D3" s="11"/>
      <c r="E3" s="11"/>
      <c r="F3" s="11"/>
      <c r="G3" s="11"/>
      <c r="H3" s="11"/>
      <c r="I3" s="11"/>
      <c r="J3" s="11"/>
      <c r="K3" s="11"/>
      <c r="L3" s="11"/>
      <c r="M3" s="11"/>
      <c r="N3" s="11"/>
      <c r="O3" s="11"/>
      <c r="P3" s="12"/>
      <c r="Q3" s="5" t="s">
        <v>58</v>
      </c>
    </row>
    <row r="4" spans="1:17" x14ac:dyDescent="0.25">
      <c r="A4" s="4" t="s">
        <v>98</v>
      </c>
      <c r="B4" s="10" t="s">
        <v>99</v>
      </c>
      <c r="C4" s="10"/>
      <c r="D4" s="10"/>
      <c r="E4" s="10"/>
      <c r="F4" s="10"/>
      <c r="G4" s="10"/>
      <c r="H4" s="10"/>
      <c r="I4" s="10"/>
      <c r="J4" s="10"/>
      <c r="K4" s="10"/>
      <c r="L4" s="10"/>
      <c r="M4" s="10"/>
      <c r="N4" s="10"/>
      <c r="O4" s="10"/>
      <c r="P4" s="10"/>
      <c r="Q4" s="4" t="s">
        <v>61</v>
      </c>
    </row>
    <row r="5" spans="1:17" x14ac:dyDescent="0.25">
      <c r="A5" s="4" t="s">
        <v>100</v>
      </c>
      <c r="B5" s="10" t="s">
        <v>101</v>
      </c>
      <c r="C5" s="10"/>
      <c r="D5" s="10"/>
      <c r="E5" s="10"/>
      <c r="F5" s="10"/>
      <c r="G5" s="10"/>
      <c r="H5" s="10"/>
      <c r="I5" s="10"/>
      <c r="J5" s="10"/>
      <c r="K5" s="10"/>
      <c r="L5" s="10"/>
      <c r="M5" s="10"/>
      <c r="N5" s="10"/>
      <c r="O5" s="10"/>
      <c r="P5" s="10"/>
      <c r="Q5" s="4" t="s">
        <v>130</v>
      </c>
    </row>
    <row r="6" spans="1:17" x14ac:dyDescent="0.25">
      <c r="A6" s="4" t="s">
        <v>102</v>
      </c>
      <c r="B6" s="10" t="s">
        <v>103</v>
      </c>
      <c r="C6" s="10"/>
      <c r="D6" s="10"/>
      <c r="E6" s="10"/>
      <c r="F6" s="10"/>
      <c r="G6" s="10"/>
      <c r="H6" s="10"/>
      <c r="I6" s="10"/>
      <c r="J6" s="10"/>
      <c r="K6" s="10"/>
      <c r="L6" s="10"/>
      <c r="M6" s="10"/>
      <c r="N6" s="10"/>
      <c r="O6" s="10"/>
      <c r="P6" s="10"/>
      <c r="Q6" s="4" t="s">
        <v>130</v>
      </c>
    </row>
    <row r="7" spans="1:17" x14ac:dyDescent="0.25">
      <c r="A7" s="4" t="s">
        <v>104</v>
      </c>
      <c r="B7" s="10" t="s">
        <v>105</v>
      </c>
      <c r="C7" s="10"/>
      <c r="D7" s="10"/>
      <c r="E7" s="10"/>
      <c r="F7" s="10"/>
      <c r="G7" s="10"/>
      <c r="H7" s="10"/>
      <c r="I7" s="10"/>
      <c r="J7" s="10"/>
      <c r="K7" s="10"/>
      <c r="L7" s="10"/>
      <c r="M7" s="10"/>
      <c r="N7" s="10"/>
      <c r="O7" s="10"/>
      <c r="P7" s="10"/>
      <c r="Q7" s="4" t="s">
        <v>61</v>
      </c>
    </row>
    <row r="8" spans="1:17" x14ac:dyDescent="0.25">
      <c r="A8" s="4" t="s">
        <v>106</v>
      </c>
      <c r="B8" s="10" t="s">
        <v>131</v>
      </c>
      <c r="C8" s="10"/>
      <c r="D8" s="10"/>
      <c r="E8" s="10"/>
      <c r="F8" s="10"/>
      <c r="G8" s="10"/>
      <c r="H8" s="10"/>
      <c r="I8" s="10"/>
      <c r="J8" s="10"/>
      <c r="K8" s="10"/>
      <c r="L8" s="10"/>
      <c r="M8" s="10"/>
      <c r="N8" s="10"/>
      <c r="O8" s="10"/>
      <c r="P8" s="10"/>
      <c r="Q8" s="4" t="s">
        <v>61</v>
      </c>
    </row>
    <row r="9" spans="1:17" x14ac:dyDescent="0.25">
      <c r="A9" s="4" t="s">
        <v>107</v>
      </c>
      <c r="B9" s="10" t="s">
        <v>108</v>
      </c>
      <c r="C9" s="10"/>
      <c r="D9" s="10"/>
      <c r="E9" s="10"/>
      <c r="F9" s="10"/>
      <c r="G9" s="10"/>
      <c r="H9" s="10"/>
      <c r="I9" s="10"/>
      <c r="J9" s="10"/>
      <c r="K9" s="10"/>
      <c r="L9" s="10"/>
      <c r="M9" s="10"/>
      <c r="N9" s="10"/>
      <c r="O9" s="10"/>
      <c r="P9" s="10"/>
      <c r="Q9" s="4" t="s">
        <v>61</v>
      </c>
    </row>
    <row r="10" spans="1:17" x14ac:dyDescent="0.25">
      <c r="A10" s="4" t="s">
        <v>109</v>
      </c>
      <c r="B10" s="10" t="s">
        <v>110</v>
      </c>
      <c r="C10" s="10"/>
      <c r="D10" s="10"/>
      <c r="E10" s="10"/>
      <c r="F10" s="10"/>
      <c r="G10" s="10"/>
      <c r="H10" s="10"/>
      <c r="I10" s="10"/>
      <c r="J10" s="10"/>
      <c r="K10" s="10"/>
      <c r="L10" s="10"/>
      <c r="M10" s="10"/>
      <c r="N10" s="10"/>
      <c r="O10" s="10"/>
      <c r="P10" s="10"/>
      <c r="Q10" s="4" t="s">
        <v>61</v>
      </c>
    </row>
    <row r="11" spans="1:17" x14ac:dyDescent="0.25">
      <c r="A11" s="4" t="s">
        <v>111</v>
      </c>
      <c r="B11" s="10" t="s">
        <v>169</v>
      </c>
      <c r="C11" s="10"/>
      <c r="D11" s="10"/>
      <c r="E11" s="10"/>
      <c r="F11" s="10"/>
      <c r="G11" s="10"/>
      <c r="H11" s="10"/>
      <c r="I11" s="10"/>
      <c r="J11" s="10"/>
      <c r="K11" s="10"/>
      <c r="L11" s="10"/>
      <c r="M11" s="10"/>
      <c r="N11" s="10"/>
      <c r="O11" s="10"/>
      <c r="P11" s="10"/>
      <c r="Q11" s="4" t="s">
        <v>61</v>
      </c>
    </row>
    <row r="12" spans="1:17" x14ac:dyDescent="0.25">
      <c r="A12" s="4" t="s">
        <v>112</v>
      </c>
      <c r="B12" s="10" t="s">
        <v>113</v>
      </c>
      <c r="C12" s="10"/>
      <c r="D12" s="10"/>
      <c r="E12" s="10"/>
      <c r="F12" s="10"/>
      <c r="G12" s="10"/>
      <c r="H12" s="10"/>
      <c r="I12" s="10"/>
      <c r="J12" s="10"/>
      <c r="K12" s="10"/>
      <c r="L12" s="10"/>
      <c r="M12" s="10"/>
      <c r="N12" s="10"/>
      <c r="O12" s="10"/>
      <c r="P12" s="10"/>
      <c r="Q12" s="4" t="s">
        <v>61</v>
      </c>
    </row>
    <row r="13" spans="1:17" x14ac:dyDescent="0.25">
      <c r="A13" s="4" t="s">
        <v>114</v>
      </c>
      <c r="B13" s="10" t="s">
        <v>115</v>
      </c>
      <c r="C13" s="10"/>
      <c r="D13" s="10"/>
      <c r="E13" s="10"/>
      <c r="F13" s="10"/>
      <c r="G13" s="10"/>
      <c r="H13" s="10"/>
      <c r="I13" s="10"/>
      <c r="J13" s="10"/>
      <c r="K13" s="10"/>
      <c r="L13" s="10"/>
      <c r="M13" s="10"/>
      <c r="N13" s="10"/>
      <c r="O13" s="10"/>
      <c r="P13" s="10"/>
      <c r="Q13" s="4" t="s">
        <v>130</v>
      </c>
    </row>
    <row r="14" spans="1:17" x14ac:dyDescent="0.25">
      <c r="A14" s="4" t="s">
        <v>116</v>
      </c>
      <c r="B14" s="10" t="s">
        <v>117</v>
      </c>
      <c r="C14" s="10"/>
      <c r="D14" s="10"/>
      <c r="E14" s="10"/>
      <c r="F14" s="10"/>
      <c r="G14" s="10"/>
      <c r="H14" s="10"/>
      <c r="I14" s="10"/>
      <c r="J14" s="10"/>
      <c r="K14" s="10"/>
      <c r="L14" s="10"/>
      <c r="M14" s="10"/>
      <c r="N14" s="10"/>
      <c r="O14" s="10"/>
      <c r="P14" s="10"/>
      <c r="Q14" s="4" t="s">
        <v>61</v>
      </c>
    </row>
    <row r="15" spans="1:17" x14ac:dyDescent="0.25">
      <c r="A15" s="4" t="s">
        <v>118</v>
      </c>
      <c r="B15" s="10" t="s">
        <v>119</v>
      </c>
      <c r="C15" s="10"/>
      <c r="D15" s="10"/>
      <c r="E15" s="10"/>
      <c r="F15" s="10"/>
      <c r="G15" s="10"/>
      <c r="H15" s="10"/>
      <c r="I15" s="10"/>
      <c r="J15" s="10"/>
      <c r="K15" s="10"/>
      <c r="L15" s="10"/>
      <c r="M15" s="10"/>
      <c r="N15" s="10"/>
      <c r="O15" s="10"/>
      <c r="P15" s="10"/>
      <c r="Q15" s="4" t="s">
        <v>130</v>
      </c>
    </row>
    <row r="16" spans="1:17" x14ac:dyDescent="0.25">
      <c r="A16" s="4" t="s">
        <v>120</v>
      </c>
      <c r="B16" s="10" t="s">
        <v>121</v>
      </c>
      <c r="C16" s="10"/>
      <c r="D16" s="10"/>
      <c r="E16" s="10"/>
      <c r="F16" s="10"/>
      <c r="G16" s="10"/>
      <c r="H16" s="10"/>
      <c r="I16" s="10"/>
      <c r="J16" s="10"/>
      <c r="K16" s="10"/>
      <c r="L16" s="10"/>
      <c r="M16" s="10"/>
      <c r="N16" s="10"/>
      <c r="O16" s="10"/>
      <c r="P16" s="10"/>
      <c r="Q16" s="4" t="s">
        <v>130</v>
      </c>
    </row>
    <row r="17" spans="1:17" x14ac:dyDescent="0.25">
      <c r="A17" s="4" t="s">
        <v>122</v>
      </c>
      <c r="B17" s="10" t="s">
        <v>123</v>
      </c>
      <c r="C17" s="10"/>
      <c r="D17" s="10"/>
      <c r="E17" s="10"/>
      <c r="F17" s="10"/>
      <c r="G17" s="10"/>
      <c r="H17" s="10"/>
      <c r="I17" s="10"/>
      <c r="J17" s="10"/>
      <c r="K17" s="10"/>
      <c r="L17" s="10"/>
      <c r="M17" s="10"/>
      <c r="N17" s="10"/>
      <c r="O17" s="10"/>
      <c r="P17" s="10"/>
      <c r="Q17" s="4" t="s">
        <v>61</v>
      </c>
    </row>
    <row r="18" spans="1:17" x14ac:dyDescent="0.25">
      <c r="A18" s="4" t="s">
        <v>124</v>
      </c>
      <c r="B18" s="10" t="s">
        <v>125</v>
      </c>
      <c r="C18" s="10"/>
      <c r="D18" s="10"/>
      <c r="E18" s="10"/>
      <c r="F18" s="10"/>
      <c r="G18" s="10"/>
      <c r="H18" s="10"/>
      <c r="I18" s="10"/>
      <c r="J18" s="10"/>
      <c r="K18" s="10"/>
      <c r="L18" s="10"/>
      <c r="M18" s="10"/>
      <c r="N18" s="10"/>
      <c r="O18" s="10"/>
      <c r="P18" s="10"/>
      <c r="Q18" s="4" t="s">
        <v>130</v>
      </c>
    </row>
    <row r="19" spans="1:17" x14ac:dyDescent="0.25">
      <c r="A19" s="4" t="s">
        <v>126</v>
      </c>
      <c r="B19" s="10" t="s">
        <v>127</v>
      </c>
      <c r="C19" s="10"/>
      <c r="D19" s="10"/>
      <c r="E19" s="10"/>
      <c r="F19" s="10"/>
      <c r="G19" s="10"/>
      <c r="H19" s="10"/>
      <c r="I19" s="10"/>
      <c r="J19" s="10"/>
      <c r="K19" s="10"/>
      <c r="L19" s="10"/>
      <c r="M19" s="10"/>
      <c r="N19" s="10"/>
      <c r="O19" s="10"/>
      <c r="P19" s="10"/>
      <c r="Q19" s="4" t="s">
        <v>61</v>
      </c>
    </row>
    <row r="20" spans="1:17" x14ac:dyDescent="0.25">
      <c r="A20" s="4" t="s">
        <v>128</v>
      </c>
      <c r="B20" s="10" t="s">
        <v>129</v>
      </c>
      <c r="C20" s="10"/>
      <c r="D20" s="10"/>
      <c r="E20" s="10"/>
      <c r="F20" s="10"/>
      <c r="G20" s="10"/>
      <c r="H20" s="10"/>
      <c r="I20" s="10"/>
      <c r="J20" s="10"/>
      <c r="K20" s="10"/>
      <c r="L20" s="10"/>
      <c r="M20" s="10"/>
      <c r="N20" s="10"/>
      <c r="O20" s="10"/>
      <c r="P20" s="10"/>
      <c r="Q20" s="4" t="s">
        <v>61</v>
      </c>
    </row>
  </sheetData>
  <mergeCells count="18">
    <mergeCell ref="B8:P8"/>
    <mergeCell ref="B3:P3"/>
    <mergeCell ref="B4:P4"/>
    <mergeCell ref="B5:P5"/>
    <mergeCell ref="B6:P6"/>
    <mergeCell ref="B7:P7"/>
    <mergeCell ref="B20:P20"/>
    <mergeCell ref="B9:P9"/>
    <mergeCell ref="B10:P10"/>
    <mergeCell ref="B11:P11"/>
    <mergeCell ref="B12:P12"/>
    <mergeCell ref="B13:P13"/>
    <mergeCell ref="B14:P14"/>
    <mergeCell ref="B15:P15"/>
    <mergeCell ref="B16:P16"/>
    <mergeCell ref="B17:P17"/>
    <mergeCell ref="B18:P18"/>
    <mergeCell ref="B19:P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F01D2-E533-4F0E-B950-ABFCC2EA788C}">
  <dimension ref="A1:T18"/>
  <sheetViews>
    <sheetView zoomScale="130" zoomScaleNormal="130" workbookViewId="0">
      <selection activeCell="H28" sqref="H28"/>
    </sheetView>
  </sheetViews>
  <sheetFormatPr defaultRowHeight="15" x14ac:dyDescent="0.25"/>
  <cols>
    <col min="20" max="20" width="12.28515625" customWidth="1"/>
  </cols>
  <sheetData>
    <row r="1" spans="1:20" x14ac:dyDescent="0.25">
      <c r="A1" s="1" t="s">
        <v>132</v>
      </c>
      <c r="B1" s="1"/>
      <c r="C1" s="1"/>
      <c r="D1" s="1"/>
      <c r="E1" s="1"/>
      <c r="F1" s="1"/>
      <c r="G1" s="1"/>
      <c r="H1" s="1"/>
      <c r="I1" s="1"/>
      <c r="J1" s="1"/>
      <c r="K1" s="1"/>
      <c r="L1" s="1"/>
      <c r="M1" s="1"/>
      <c r="N1" s="1"/>
      <c r="O1" s="1"/>
      <c r="P1" s="1"/>
      <c r="Q1" s="1"/>
      <c r="R1" s="1"/>
      <c r="S1" s="1"/>
      <c r="T1" s="1"/>
    </row>
    <row r="3" spans="1:20" x14ac:dyDescent="0.25">
      <c r="A3" s="3" t="s">
        <v>52</v>
      </c>
      <c r="B3" s="11" t="s">
        <v>97</v>
      </c>
      <c r="C3" s="11"/>
      <c r="D3" s="11"/>
      <c r="E3" s="11"/>
      <c r="F3" s="11"/>
      <c r="G3" s="11"/>
      <c r="H3" s="11"/>
      <c r="I3" s="11"/>
      <c r="J3" s="11"/>
      <c r="K3" s="11"/>
      <c r="L3" s="11"/>
      <c r="M3" s="11"/>
      <c r="N3" s="11"/>
      <c r="O3" s="11"/>
      <c r="P3" s="11"/>
      <c r="Q3" s="11" t="s">
        <v>133</v>
      </c>
      <c r="R3" s="11"/>
      <c r="S3" s="12"/>
      <c r="T3" s="5" t="s">
        <v>58</v>
      </c>
    </row>
    <row r="4" spans="1:20" x14ac:dyDescent="0.25">
      <c r="A4" s="4" t="s">
        <v>134</v>
      </c>
      <c r="B4" s="10" t="s">
        <v>135</v>
      </c>
      <c r="C4" s="10"/>
      <c r="D4" s="10"/>
      <c r="E4" s="10"/>
      <c r="F4" s="10"/>
      <c r="G4" s="10"/>
      <c r="H4" s="10"/>
      <c r="I4" s="10"/>
      <c r="J4" s="10"/>
      <c r="K4" s="10"/>
      <c r="L4" s="10"/>
      <c r="M4" s="10"/>
      <c r="N4" s="10"/>
      <c r="O4" s="10"/>
      <c r="P4" s="10"/>
      <c r="Q4" s="10" t="s">
        <v>136</v>
      </c>
      <c r="R4" s="10"/>
      <c r="S4" s="13"/>
      <c r="T4" s="4" t="s">
        <v>61</v>
      </c>
    </row>
    <row r="5" spans="1:20" x14ac:dyDescent="0.25">
      <c r="A5" s="4" t="s">
        <v>137</v>
      </c>
      <c r="B5" s="10" t="s">
        <v>138</v>
      </c>
      <c r="C5" s="10"/>
      <c r="D5" s="10"/>
      <c r="E5" s="10"/>
      <c r="F5" s="10"/>
      <c r="G5" s="10"/>
      <c r="H5" s="10"/>
      <c r="I5" s="10"/>
      <c r="J5" s="10"/>
      <c r="K5" s="10"/>
      <c r="L5" s="10"/>
      <c r="M5" s="10"/>
      <c r="N5" s="10"/>
      <c r="O5" s="10"/>
      <c r="P5" s="10"/>
      <c r="Q5" s="10" t="s">
        <v>139</v>
      </c>
      <c r="R5" s="10"/>
      <c r="S5" s="13"/>
      <c r="T5" s="4" t="s">
        <v>61</v>
      </c>
    </row>
    <row r="6" spans="1:20" x14ac:dyDescent="0.25">
      <c r="A6" s="4" t="s">
        <v>140</v>
      </c>
      <c r="B6" s="10" t="s">
        <v>141</v>
      </c>
      <c r="C6" s="10"/>
      <c r="D6" s="10"/>
      <c r="E6" s="10"/>
      <c r="F6" s="10"/>
      <c r="G6" s="10"/>
      <c r="H6" s="10"/>
      <c r="I6" s="10"/>
      <c r="J6" s="10"/>
      <c r="K6" s="10"/>
      <c r="L6" s="10"/>
      <c r="M6" s="10"/>
      <c r="N6" s="10"/>
      <c r="O6" s="10"/>
      <c r="P6" s="10"/>
      <c r="Q6" s="10" t="s">
        <v>102</v>
      </c>
      <c r="R6" s="10"/>
      <c r="S6" s="13"/>
      <c r="T6" s="4" t="s">
        <v>130</v>
      </c>
    </row>
    <row r="7" spans="1:20" x14ac:dyDescent="0.25">
      <c r="A7" s="4" t="s">
        <v>142</v>
      </c>
      <c r="B7" s="10" t="s">
        <v>143</v>
      </c>
      <c r="C7" s="10"/>
      <c r="D7" s="10"/>
      <c r="E7" s="10"/>
      <c r="F7" s="10"/>
      <c r="G7" s="10"/>
      <c r="H7" s="10"/>
      <c r="I7" s="10"/>
      <c r="J7" s="10"/>
      <c r="K7" s="10"/>
      <c r="L7" s="10"/>
      <c r="M7" s="10"/>
      <c r="N7" s="10"/>
      <c r="O7" s="10"/>
      <c r="P7" s="10"/>
      <c r="Q7" s="10" t="s">
        <v>120</v>
      </c>
      <c r="R7" s="10"/>
      <c r="S7" s="13"/>
      <c r="T7" s="4" t="s">
        <v>130</v>
      </c>
    </row>
    <row r="8" spans="1:20" x14ac:dyDescent="0.25">
      <c r="A8" s="4" t="s">
        <v>144</v>
      </c>
      <c r="B8" s="10" t="s">
        <v>145</v>
      </c>
      <c r="C8" s="10"/>
      <c r="D8" s="10"/>
      <c r="E8" s="10"/>
      <c r="F8" s="10"/>
      <c r="G8" s="10"/>
      <c r="H8" s="10"/>
      <c r="I8" s="10"/>
      <c r="J8" s="10"/>
      <c r="K8" s="10"/>
      <c r="L8" s="10"/>
      <c r="M8" s="10"/>
      <c r="N8" s="10"/>
      <c r="O8" s="10"/>
      <c r="P8" s="10"/>
      <c r="Q8" s="10" t="s">
        <v>109</v>
      </c>
      <c r="R8" s="10"/>
      <c r="S8" s="13"/>
      <c r="T8" s="4" t="s">
        <v>61</v>
      </c>
    </row>
    <row r="9" spans="1:20" x14ac:dyDescent="0.25">
      <c r="A9" s="4" t="s">
        <v>146</v>
      </c>
      <c r="B9" s="10" t="s">
        <v>163</v>
      </c>
      <c r="C9" s="10"/>
      <c r="D9" s="10"/>
      <c r="E9" s="10"/>
      <c r="F9" s="10"/>
      <c r="G9" s="10"/>
      <c r="H9" s="10"/>
      <c r="I9" s="10"/>
      <c r="J9" s="10"/>
      <c r="K9" s="10"/>
      <c r="L9" s="10"/>
      <c r="M9" s="10"/>
      <c r="N9" s="10"/>
      <c r="O9" s="10"/>
      <c r="P9" s="10"/>
      <c r="Q9" s="10" t="s">
        <v>111</v>
      </c>
      <c r="R9" s="10"/>
      <c r="S9" s="13"/>
      <c r="T9" s="4" t="s">
        <v>61</v>
      </c>
    </row>
    <row r="10" spans="1:20" x14ac:dyDescent="0.25">
      <c r="A10" s="4" t="s">
        <v>147</v>
      </c>
      <c r="B10" s="10" t="s">
        <v>148</v>
      </c>
      <c r="C10" s="10"/>
      <c r="D10" s="10"/>
      <c r="E10" s="10"/>
      <c r="F10" s="10"/>
      <c r="G10" s="10"/>
      <c r="H10" s="10"/>
      <c r="I10" s="10"/>
      <c r="J10" s="10"/>
      <c r="K10" s="10"/>
      <c r="L10" s="10"/>
      <c r="M10" s="10"/>
      <c r="N10" s="10"/>
      <c r="O10" s="10"/>
      <c r="P10" s="10"/>
      <c r="Q10" s="10" t="s">
        <v>112</v>
      </c>
      <c r="R10" s="10"/>
      <c r="S10" s="13"/>
      <c r="T10" s="4" t="s">
        <v>61</v>
      </c>
    </row>
    <row r="11" spans="1:20" x14ac:dyDescent="0.25">
      <c r="A11" s="4" t="s">
        <v>149</v>
      </c>
      <c r="B11" s="10" t="s">
        <v>150</v>
      </c>
      <c r="C11" s="10"/>
      <c r="D11" s="10"/>
      <c r="E11" s="10"/>
      <c r="F11" s="10"/>
      <c r="G11" s="10"/>
      <c r="H11" s="10"/>
      <c r="I11" s="10"/>
      <c r="J11" s="10"/>
      <c r="K11" s="10"/>
      <c r="L11" s="10"/>
      <c r="M11" s="10"/>
      <c r="N11" s="10"/>
      <c r="O11" s="10"/>
      <c r="P11" s="10"/>
      <c r="Q11" s="10" t="s">
        <v>112</v>
      </c>
      <c r="R11" s="10"/>
      <c r="S11" s="13"/>
      <c r="T11" s="4" t="s">
        <v>61</v>
      </c>
    </row>
    <row r="12" spans="1:20" x14ac:dyDescent="0.25">
      <c r="A12" s="4" t="s">
        <v>151</v>
      </c>
      <c r="B12" s="10" t="s">
        <v>164</v>
      </c>
      <c r="C12" s="10"/>
      <c r="D12" s="10"/>
      <c r="E12" s="10"/>
      <c r="F12" s="10"/>
      <c r="G12" s="10"/>
      <c r="H12" s="10"/>
      <c r="I12" s="10"/>
      <c r="J12" s="10"/>
      <c r="K12" s="10"/>
      <c r="L12" s="10"/>
      <c r="M12" s="10"/>
      <c r="N12" s="10"/>
      <c r="O12" s="10"/>
      <c r="P12" s="10"/>
      <c r="Q12" s="10" t="s">
        <v>106</v>
      </c>
      <c r="R12" s="10"/>
      <c r="S12" s="13"/>
      <c r="T12" s="4" t="s">
        <v>61</v>
      </c>
    </row>
    <row r="13" spans="1:20" x14ac:dyDescent="0.25">
      <c r="A13" s="4" t="s">
        <v>152</v>
      </c>
      <c r="B13" s="10" t="s">
        <v>153</v>
      </c>
      <c r="C13" s="10"/>
      <c r="D13" s="10"/>
      <c r="E13" s="10"/>
      <c r="F13" s="10"/>
      <c r="G13" s="10"/>
      <c r="H13" s="10"/>
      <c r="I13" s="10"/>
      <c r="J13" s="10"/>
      <c r="K13" s="10"/>
      <c r="L13" s="10"/>
      <c r="M13" s="10"/>
      <c r="N13" s="10"/>
      <c r="O13" s="10"/>
      <c r="P13" s="10"/>
      <c r="Q13" s="10" t="s">
        <v>107</v>
      </c>
      <c r="R13" s="10"/>
      <c r="S13" s="13"/>
      <c r="T13" s="4" t="s">
        <v>61</v>
      </c>
    </row>
    <row r="14" spans="1:20" x14ac:dyDescent="0.25">
      <c r="A14" s="4" t="s">
        <v>154</v>
      </c>
      <c r="B14" s="10" t="s">
        <v>155</v>
      </c>
      <c r="C14" s="10"/>
      <c r="D14" s="10"/>
      <c r="E14" s="10"/>
      <c r="F14" s="10"/>
      <c r="G14" s="10"/>
      <c r="H14" s="10"/>
      <c r="I14" s="10"/>
      <c r="J14" s="10"/>
      <c r="K14" s="10"/>
      <c r="L14" s="10"/>
      <c r="M14" s="10"/>
      <c r="N14" s="10"/>
      <c r="O14" s="10"/>
      <c r="P14" s="10"/>
      <c r="Q14" s="10" t="s">
        <v>114</v>
      </c>
      <c r="R14" s="10"/>
      <c r="S14" s="13"/>
      <c r="T14" s="4" t="s">
        <v>130</v>
      </c>
    </row>
    <row r="15" spans="1:20" x14ac:dyDescent="0.25">
      <c r="A15" s="4" t="s">
        <v>156</v>
      </c>
      <c r="B15" s="10" t="s">
        <v>157</v>
      </c>
      <c r="C15" s="10"/>
      <c r="D15" s="10"/>
      <c r="E15" s="10"/>
      <c r="F15" s="10"/>
      <c r="G15" s="10"/>
      <c r="H15" s="10"/>
      <c r="I15" s="10"/>
      <c r="J15" s="10"/>
      <c r="K15" s="10"/>
      <c r="L15" s="10"/>
      <c r="M15" s="10"/>
      <c r="N15" s="10"/>
      <c r="O15" s="10"/>
      <c r="P15" s="10"/>
      <c r="Q15" s="10" t="s">
        <v>124</v>
      </c>
      <c r="R15" s="10"/>
      <c r="S15" s="13"/>
      <c r="T15" s="4" t="s">
        <v>130</v>
      </c>
    </row>
    <row r="16" spans="1:20" x14ac:dyDescent="0.25">
      <c r="A16" s="4" t="s">
        <v>158</v>
      </c>
      <c r="B16" s="10" t="s">
        <v>159</v>
      </c>
      <c r="C16" s="10"/>
      <c r="D16" s="10"/>
      <c r="E16" s="10"/>
      <c r="F16" s="10"/>
      <c r="G16" s="10"/>
      <c r="H16" s="10"/>
      <c r="I16" s="10"/>
      <c r="J16" s="10"/>
      <c r="K16" s="10"/>
      <c r="L16" s="10"/>
      <c r="M16" s="10"/>
      <c r="N16" s="10"/>
      <c r="O16" s="10"/>
      <c r="P16" s="10"/>
      <c r="Q16" s="10" t="s">
        <v>126</v>
      </c>
      <c r="R16" s="10"/>
      <c r="S16" s="13"/>
      <c r="T16" s="4" t="s">
        <v>61</v>
      </c>
    </row>
    <row r="17" spans="1:20" x14ac:dyDescent="0.25">
      <c r="A17" s="4" t="s">
        <v>160</v>
      </c>
      <c r="B17" s="10" t="s">
        <v>161</v>
      </c>
      <c r="C17" s="10"/>
      <c r="D17" s="10"/>
      <c r="E17" s="10"/>
      <c r="F17" s="10"/>
      <c r="G17" s="10"/>
      <c r="H17" s="10"/>
      <c r="I17" s="10"/>
      <c r="J17" s="10"/>
      <c r="K17" s="10"/>
      <c r="L17" s="10"/>
      <c r="M17" s="10"/>
      <c r="N17" s="10"/>
      <c r="O17" s="10"/>
      <c r="P17" s="10"/>
      <c r="Q17" s="10" t="s">
        <v>118</v>
      </c>
      <c r="R17" s="10"/>
      <c r="S17" s="13"/>
      <c r="T17" s="4" t="s">
        <v>130</v>
      </c>
    </row>
    <row r="18" spans="1:20" x14ac:dyDescent="0.25">
      <c r="A18" s="4" t="s">
        <v>162</v>
      </c>
      <c r="B18" s="10" t="s">
        <v>165</v>
      </c>
      <c r="C18" s="10"/>
      <c r="D18" s="10"/>
      <c r="E18" s="10"/>
      <c r="F18" s="10"/>
      <c r="G18" s="10"/>
      <c r="H18" s="10"/>
      <c r="I18" s="10"/>
      <c r="J18" s="10"/>
      <c r="K18" s="10"/>
      <c r="L18" s="10"/>
      <c r="M18" s="10"/>
      <c r="N18" s="10"/>
      <c r="O18" s="10"/>
      <c r="P18" s="10"/>
      <c r="Q18" s="10" t="s">
        <v>128</v>
      </c>
      <c r="R18" s="10"/>
      <c r="S18" s="13"/>
      <c r="T18" s="4" t="s">
        <v>61</v>
      </c>
    </row>
  </sheetData>
  <mergeCells count="32">
    <mergeCell ref="B3:P3"/>
    <mergeCell ref="Q3:S3"/>
    <mergeCell ref="B4:P4"/>
    <mergeCell ref="Q4:S4"/>
    <mergeCell ref="B5:P5"/>
    <mergeCell ref="Q5:S5"/>
    <mergeCell ref="B6:P6"/>
    <mergeCell ref="Q6:S6"/>
    <mergeCell ref="B7:P7"/>
    <mergeCell ref="Q7:S7"/>
    <mergeCell ref="B8:P8"/>
    <mergeCell ref="Q8:S8"/>
    <mergeCell ref="B9:P9"/>
    <mergeCell ref="Q9:S9"/>
    <mergeCell ref="B10:P10"/>
    <mergeCell ref="Q10:S10"/>
    <mergeCell ref="B11:P11"/>
    <mergeCell ref="Q11:S11"/>
    <mergeCell ref="B12:P12"/>
    <mergeCell ref="Q12:S12"/>
    <mergeCell ref="B13:P13"/>
    <mergeCell ref="Q13:S13"/>
    <mergeCell ref="B14:P14"/>
    <mergeCell ref="Q14:S14"/>
    <mergeCell ref="B18:P18"/>
    <mergeCell ref="Q18:S18"/>
    <mergeCell ref="B15:P15"/>
    <mergeCell ref="Q15:S15"/>
    <mergeCell ref="B16:P16"/>
    <mergeCell ref="Q16:S16"/>
    <mergeCell ref="B17:P17"/>
    <mergeCell ref="Q17:S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D9EA7-633B-4AF3-AFCE-820F1E2EC0DF}">
  <dimension ref="A1:T8"/>
  <sheetViews>
    <sheetView zoomScale="130" zoomScaleNormal="130" workbookViewId="0">
      <selection activeCell="Q17" sqref="Q17"/>
    </sheetView>
  </sheetViews>
  <sheetFormatPr defaultRowHeight="15" x14ac:dyDescent="0.25"/>
  <cols>
    <col min="20" max="20" width="12.28515625" customWidth="1"/>
  </cols>
  <sheetData>
    <row r="1" spans="1:20" x14ac:dyDescent="0.25">
      <c r="A1" s="1" t="s">
        <v>194</v>
      </c>
      <c r="B1" s="1"/>
      <c r="C1" s="1"/>
      <c r="D1" s="1"/>
      <c r="E1" s="1"/>
      <c r="F1" s="1"/>
      <c r="G1" s="1"/>
      <c r="H1" s="1"/>
      <c r="I1" s="1"/>
      <c r="J1" s="1"/>
      <c r="K1" s="1"/>
      <c r="L1" s="1"/>
      <c r="M1" s="1"/>
      <c r="N1" s="1"/>
      <c r="O1" s="1"/>
      <c r="P1" s="1"/>
      <c r="Q1" s="1"/>
      <c r="R1" s="1"/>
      <c r="S1" s="1"/>
      <c r="T1" s="1"/>
    </row>
    <row r="3" spans="1:20" x14ac:dyDescent="0.25">
      <c r="A3" s="3" t="s">
        <v>52</v>
      </c>
      <c r="B3" s="11" t="s">
        <v>97</v>
      </c>
      <c r="C3" s="11"/>
      <c r="D3" s="11"/>
      <c r="E3" s="11"/>
      <c r="F3" s="11"/>
      <c r="G3" s="11"/>
      <c r="H3" s="11"/>
      <c r="I3" s="11"/>
      <c r="J3" s="11"/>
      <c r="K3" s="11"/>
      <c r="L3" s="11"/>
      <c r="M3" s="11"/>
      <c r="N3" s="11"/>
      <c r="O3" s="11"/>
      <c r="P3" s="11"/>
      <c r="Q3" s="11" t="s">
        <v>133</v>
      </c>
      <c r="R3" s="11"/>
      <c r="S3" s="19"/>
    </row>
    <row r="4" spans="1:20" x14ac:dyDescent="0.25">
      <c r="A4" s="4" t="s">
        <v>180</v>
      </c>
      <c r="B4" s="10" t="s">
        <v>181</v>
      </c>
      <c r="C4" s="10"/>
      <c r="D4" s="10"/>
      <c r="E4" s="10"/>
      <c r="F4" s="10"/>
      <c r="G4" s="10"/>
      <c r="H4" s="10"/>
      <c r="I4" s="10"/>
      <c r="J4" s="10"/>
      <c r="K4" s="10"/>
      <c r="L4" s="10"/>
      <c r="M4" s="10"/>
      <c r="N4" s="10"/>
      <c r="O4" s="10"/>
      <c r="P4" s="10"/>
      <c r="Q4" s="10" t="s">
        <v>104</v>
      </c>
      <c r="R4" s="10"/>
      <c r="S4" s="10"/>
    </row>
    <row r="5" spans="1:20" x14ac:dyDescent="0.25">
      <c r="A5" s="4" t="s">
        <v>182</v>
      </c>
      <c r="B5" s="10" t="s">
        <v>183</v>
      </c>
      <c r="C5" s="10"/>
      <c r="D5" s="10"/>
      <c r="E5" s="10"/>
      <c r="F5" s="10"/>
      <c r="G5" s="10"/>
      <c r="H5" s="10"/>
      <c r="I5" s="10"/>
      <c r="J5" s="10"/>
      <c r="K5" s="10"/>
      <c r="L5" s="10"/>
      <c r="M5" s="10"/>
      <c r="N5" s="10"/>
      <c r="O5" s="10"/>
      <c r="P5" s="10"/>
      <c r="Q5" s="10" t="s">
        <v>184</v>
      </c>
      <c r="R5" s="10"/>
      <c r="S5" s="10"/>
    </row>
    <row r="6" spans="1:20" x14ac:dyDescent="0.25">
      <c r="A6" s="4" t="s">
        <v>185</v>
      </c>
      <c r="B6" s="10" t="s">
        <v>186</v>
      </c>
      <c r="C6" s="10"/>
      <c r="D6" s="10"/>
      <c r="E6" s="10"/>
      <c r="F6" s="10"/>
      <c r="G6" s="10"/>
      <c r="H6" s="10"/>
      <c r="I6" s="10"/>
      <c r="J6" s="10"/>
      <c r="K6" s="10"/>
      <c r="L6" s="10"/>
      <c r="M6" s="10"/>
      <c r="N6" s="10"/>
      <c r="O6" s="10"/>
      <c r="P6" s="10"/>
      <c r="Q6" s="10" t="s">
        <v>187</v>
      </c>
      <c r="R6" s="10"/>
      <c r="S6" s="10"/>
    </row>
    <row r="7" spans="1:20" x14ac:dyDescent="0.25">
      <c r="A7" s="4" t="s">
        <v>188</v>
      </c>
      <c r="B7" s="10" t="s">
        <v>189</v>
      </c>
      <c r="C7" s="10"/>
      <c r="D7" s="10"/>
      <c r="E7" s="10"/>
      <c r="F7" s="10"/>
      <c r="G7" s="10"/>
      <c r="H7" s="10"/>
      <c r="I7" s="10"/>
      <c r="J7" s="10"/>
      <c r="K7" s="10"/>
      <c r="L7" s="10"/>
      <c r="M7" s="10"/>
      <c r="N7" s="10"/>
      <c r="O7" s="10"/>
      <c r="P7" s="10"/>
      <c r="Q7" s="10" t="s">
        <v>190</v>
      </c>
      <c r="R7" s="10"/>
      <c r="S7" s="10"/>
    </row>
    <row r="8" spans="1:20" ht="30.75" customHeight="1" x14ac:dyDescent="0.25">
      <c r="A8" s="4" t="s">
        <v>191</v>
      </c>
      <c r="B8" s="10" t="s">
        <v>192</v>
      </c>
      <c r="C8" s="10"/>
      <c r="D8" s="10"/>
      <c r="E8" s="10"/>
      <c r="F8" s="10"/>
      <c r="G8" s="10"/>
      <c r="H8" s="10"/>
      <c r="I8" s="10"/>
      <c r="J8" s="10"/>
      <c r="K8" s="10"/>
      <c r="L8" s="10"/>
      <c r="M8" s="10"/>
      <c r="N8" s="10"/>
      <c r="O8" s="10"/>
      <c r="P8" s="10"/>
      <c r="Q8" s="18" t="s">
        <v>193</v>
      </c>
      <c r="R8" s="18"/>
      <c r="S8" s="18"/>
    </row>
  </sheetData>
  <mergeCells count="12">
    <mergeCell ref="B6:P6"/>
    <mergeCell ref="Q6:S6"/>
    <mergeCell ref="B7:P7"/>
    <mergeCell ref="Q7:S7"/>
    <mergeCell ref="B8:P8"/>
    <mergeCell ref="Q8:S8"/>
    <mergeCell ref="B3:P3"/>
    <mergeCell ref="Q3:S3"/>
    <mergeCell ref="B4:P4"/>
    <mergeCell ref="Q4:S4"/>
    <mergeCell ref="B5:P5"/>
    <mergeCell ref="Q5:S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04BC-8D38-4C63-8677-620DC46857B5}">
  <dimension ref="A1:J49"/>
  <sheetViews>
    <sheetView zoomScale="130" zoomScaleNormal="130" workbookViewId="0">
      <selection activeCell="C45" sqref="C45"/>
    </sheetView>
  </sheetViews>
  <sheetFormatPr defaultRowHeight="15" x14ac:dyDescent="0.25"/>
  <cols>
    <col min="2" max="2" width="31.7109375" customWidth="1"/>
    <col min="3" max="3" width="17.5703125" customWidth="1"/>
    <col min="4" max="4" width="56" customWidth="1"/>
    <col min="5" max="5" width="13.85546875" customWidth="1"/>
    <col min="6" max="6" width="17" customWidth="1"/>
    <col min="7" max="7" width="20.7109375" customWidth="1"/>
    <col min="8" max="8" width="25" customWidth="1"/>
    <col min="9" max="9" width="21.28515625" customWidth="1"/>
  </cols>
  <sheetData>
    <row r="1" spans="1:10" x14ac:dyDescent="0.25">
      <c r="A1" s="1" t="s">
        <v>170</v>
      </c>
      <c r="B1" s="1"/>
      <c r="C1" s="1"/>
      <c r="D1" s="1"/>
      <c r="E1" s="1"/>
      <c r="F1" s="1"/>
      <c r="G1" s="1"/>
      <c r="H1" s="1"/>
      <c r="I1" s="1"/>
    </row>
    <row r="3" spans="1:10" x14ac:dyDescent="0.25">
      <c r="A3" s="1" t="s">
        <v>52</v>
      </c>
      <c r="B3" s="6" t="s">
        <v>171</v>
      </c>
      <c r="C3" s="1" t="s">
        <v>133</v>
      </c>
      <c r="D3" s="1" t="s">
        <v>53</v>
      </c>
      <c r="E3" s="1" t="s">
        <v>54</v>
      </c>
      <c r="F3" s="1" t="s">
        <v>55</v>
      </c>
      <c r="G3" s="1" t="s">
        <v>56</v>
      </c>
      <c r="H3" s="2" t="s">
        <v>57</v>
      </c>
      <c r="I3" s="2" t="s">
        <v>58</v>
      </c>
    </row>
    <row r="4" spans="1:10" x14ac:dyDescent="0.25">
      <c r="A4" s="4" t="str">
        <f t="shared" ref="A4:A41" si="0">_xlfn.CONCAT("SPR", ROW(A4) - 3)</f>
        <v>SPR1</v>
      </c>
      <c r="B4" s="9">
        <v>13</v>
      </c>
      <c r="C4" s="9">
        <v>16</v>
      </c>
      <c r="D4" s="4" t="s">
        <v>59</v>
      </c>
      <c r="E4" s="4" t="s">
        <v>60</v>
      </c>
      <c r="F4" s="4">
        <v>4</v>
      </c>
      <c r="G4" s="7">
        <v>45950</v>
      </c>
      <c r="H4" s="7">
        <f t="shared" ref="H4:H11" si="1">G4+6</f>
        <v>45956</v>
      </c>
      <c r="I4" s="4" t="s">
        <v>61</v>
      </c>
    </row>
    <row r="5" spans="1:10" x14ac:dyDescent="0.25">
      <c r="A5" s="4" t="str">
        <f t="shared" si="0"/>
        <v>SPR2</v>
      </c>
      <c r="B5" s="9">
        <v>2</v>
      </c>
      <c r="C5" s="9">
        <v>4</v>
      </c>
      <c r="D5" s="4" t="s">
        <v>62</v>
      </c>
      <c r="E5" s="4" t="s">
        <v>60</v>
      </c>
      <c r="F5" s="4">
        <v>1</v>
      </c>
      <c r="G5" s="7">
        <v>45950</v>
      </c>
      <c r="H5" s="7">
        <f t="shared" si="1"/>
        <v>45956</v>
      </c>
      <c r="I5" s="4" t="s">
        <v>61</v>
      </c>
    </row>
    <row r="6" spans="1:10" x14ac:dyDescent="0.25">
      <c r="A6" s="4" t="str">
        <f t="shared" si="0"/>
        <v>SPR3</v>
      </c>
      <c r="B6" s="9">
        <v>10</v>
      </c>
      <c r="C6" s="9">
        <v>4</v>
      </c>
      <c r="D6" s="4" t="s">
        <v>63</v>
      </c>
      <c r="E6" s="4" t="s">
        <v>60</v>
      </c>
      <c r="F6" s="4">
        <v>1</v>
      </c>
      <c r="G6" s="7">
        <v>45950</v>
      </c>
      <c r="H6" s="7">
        <f t="shared" si="1"/>
        <v>45956</v>
      </c>
      <c r="I6" s="4" t="s">
        <v>61</v>
      </c>
    </row>
    <row r="7" spans="1:10" x14ac:dyDescent="0.25">
      <c r="A7" s="4" t="str">
        <f t="shared" si="0"/>
        <v>SPR4</v>
      </c>
      <c r="B7" s="9" t="s">
        <v>172</v>
      </c>
      <c r="C7" s="9">
        <v>14</v>
      </c>
      <c r="D7" s="4" t="s">
        <v>64</v>
      </c>
      <c r="E7" s="4" t="s">
        <v>60</v>
      </c>
      <c r="F7" s="4">
        <v>1</v>
      </c>
      <c r="G7" s="7">
        <v>45950</v>
      </c>
      <c r="H7" s="7">
        <f t="shared" si="1"/>
        <v>45956</v>
      </c>
      <c r="I7" s="4" t="s">
        <v>61</v>
      </c>
    </row>
    <row r="8" spans="1:10" x14ac:dyDescent="0.25">
      <c r="A8" s="4" t="str">
        <f t="shared" si="0"/>
        <v>SPR5</v>
      </c>
      <c r="B8" s="9" t="s">
        <v>172</v>
      </c>
      <c r="C8" s="9">
        <v>14</v>
      </c>
      <c r="D8" s="4" t="s">
        <v>65</v>
      </c>
      <c r="E8" s="4" t="s">
        <v>60</v>
      </c>
      <c r="F8" s="4">
        <v>1</v>
      </c>
      <c r="G8" s="7">
        <v>45950</v>
      </c>
      <c r="H8" s="7">
        <f t="shared" si="1"/>
        <v>45956</v>
      </c>
      <c r="I8" s="4" t="s">
        <v>61</v>
      </c>
    </row>
    <row r="9" spans="1:10" x14ac:dyDescent="0.25">
      <c r="A9" s="4" t="str">
        <f t="shared" si="0"/>
        <v>SPR6</v>
      </c>
      <c r="B9" s="9">
        <v>2</v>
      </c>
      <c r="C9" s="9">
        <v>1</v>
      </c>
      <c r="D9" s="4" t="s">
        <v>66</v>
      </c>
      <c r="E9" s="4" t="s">
        <v>60</v>
      </c>
      <c r="F9" s="4">
        <v>2</v>
      </c>
      <c r="G9" s="7">
        <v>45957</v>
      </c>
      <c r="H9" s="7">
        <f t="shared" si="1"/>
        <v>45963</v>
      </c>
      <c r="I9" s="4" t="s">
        <v>61</v>
      </c>
      <c r="J9" s="8">
        <f t="shared" ref="J9:J28" si="2">IF(I4="Complete",-F4,IF(I4="Partially Complete",-F4/2,0))</f>
        <v>-4</v>
      </c>
    </row>
    <row r="10" spans="1:10" x14ac:dyDescent="0.25">
      <c r="A10" s="4" t="str">
        <f t="shared" si="0"/>
        <v>SPR7</v>
      </c>
      <c r="B10" s="9">
        <v>2</v>
      </c>
      <c r="C10" s="9">
        <v>1</v>
      </c>
      <c r="D10" s="4" t="s">
        <v>67</v>
      </c>
      <c r="E10" s="4" t="s">
        <v>60</v>
      </c>
      <c r="F10" s="4">
        <v>1</v>
      </c>
      <c r="G10" s="7">
        <v>45957</v>
      </c>
      <c r="H10" s="7">
        <f t="shared" si="1"/>
        <v>45963</v>
      </c>
      <c r="I10" s="4" t="s">
        <v>61</v>
      </c>
      <c r="J10" s="8">
        <f t="shared" si="2"/>
        <v>-1</v>
      </c>
    </row>
    <row r="11" spans="1:10" x14ac:dyDescent="0.25">
      <c r="A11" s="4" t="str">
        <f t="shared" si="0"/>
        <v>SPR8</v>
      </c>
      <c r="B11" s="9">
        <v>2</v>
      </c>
      <c r="C11" s="9">
        <v>1</v>
      </c>
      <c r="D11" s="4" t="s">
        <v>68</v>
      </c>
      <c r="E11" s="4" t="s">
        <v>60</v>
      </c>
      <c r="F11" s="4">
        <v>1</v>
      </c>
      <c r="G11" s="7">
        <v>45964</v>
      </c>
      <c r="H11" s="7">
        <f t="shared" si="1"/>
        <v>45970</v>
      </c>
      <c r="I11" s="4" t="s">
        <v>61</v>
      </c>
      <c r="J11" s="8">
        <f t="shared" si="2"/>
        <v>-1</v>
      </c>
    </row>
    <row r="12" spans="1:10" x14ac:dyDescent="0.25">
      <c r="A12" s="4" t="str">
        <f t="shared" si="0"/>
        <v>SPR9</v>
      </c>
      <c r="B12" s="9" t="s">
        <v>179</v>
      </c>
      <c r="C12" s="9">
        <v>14</v>
      </c>
      <c r="D12" s="4" t="s">
        <v>69</v>
      </c>
      <c r="E12" s="4" t="s">
        <v>60</v>
      </c>
      <c r="F12" s="4">
        <v>2</v>
      </c>
      <c r="G12" s="7">
        <v>45971</v>
      </c>
      <c r="H12" s="7">
        <f t="shared" ref="H12:H41" si="3">G12+6</f>
        <v>45977</v>
      </c>
      <c r="I12" s="4" t="s">
        <v>61</v>
      </c>
      <c r="J12" s="8">
        <f t="shared" si="2"/>
        <v>-1</v>
      </c>
    </row>
    <row r="13" spans="1:10" x14ac:dyDescent="0.25">
      <c r="A13" s="4" t="str">
        <f t="shared" si="0"/>
        <v>SPR10</v>
      </c>
      <c r="B13" s="9">
        <v>5</v>
      </c>
      <c r="C13" s="9">
        <v>7</v>
      </c>
      <c r="D13" s="4" t="s">
        <v>70</v>
      </c>
      <c r="E13" s="4" t="s">
        <v>60</v>
      </c>
      <c r="F13" s="4">
        <v>2</v>
      </c>
      <c r="G13" s="7">
        <v>45978</v>
      </c>
      <c r="H13" s="7">
        <f t="shared" si="3"/>
        <v>45984</v>
      </c>
      <c r="I13" s="4" t="s">
        <v>61</v>
      </c>
      <c r="J13" s="8">
        <f t="shared" si="2"/>
        <v>-1</v>
      </c>
    </row>
    <row r="14" spans="1:10" x14ac:dyDescent="0.25">
      <c r="A14" s="4" t="str">
        <f t="shared" si="0"/>
        <v>SPR11</v>
      </c>
      <c r="B14" s="9">
        <v>7</v>
      </c>
      <c r="C14" s="9">
        <v>9</v>
      </c>
      <c r="D14" s="4" t="s">
        <v>71</v>
      </c>
      <c r="E14" s="4" t="s">
        <v>60</v>
      </c>
      <c r="F14" s="4">
        <v>1</v>
      </c>
      <c r="G14" s="7">
        <v>45978</v>
      </c>
      <c r="H14" s="7">
        <f t="shared" si="3"/>
        <v>45984</v>
      </c>
      <c r="I14" s="4" t="s">
        <v>61</v>
      </c>
      <c r="J14" s="8">
        <f t="shared" si="2"/>
        <v>-2</v>
      </c>
    </row>
    <row r="15" spans="1:10" x14ac:dyDescent="0.25">
      <c r="A15" s="4" t="str">
        <f t="shared" si="0"/>
        <v>SPR12</v>
      </c>
      <c r="B15" s="9" t="s">
        <v>173</v>
      </c>
      <c r="C15" s="9">
        <v>9</v>
      </c>
      <c r="D15" s="4" t="s">
        <v>72</v>
      </c>
      <c r="E15" s="4" t="s">
        <v>60</v>
      </c>
      <c r="F15" s="4">
        <v>2</v>
      </c>
      <c r="G15" s="7">
        <v>45978</v>
      </c>
      <c r="H15" s="7">
        <f t="shared" si="3"/>
        <v>45984</v>
      </c>
      <c r="I15" s="4" t="s">
        <v>61</v>
      </c>
      <c r="J15" s="8">
        <f t="shared" si="2"/>
        <v>-1</v>
      </c>
    </row>
    <row r="16" spans="1:10" x14ac:dyDescent="0.25">
      <c r="A16" s="4" t="str">
        <f t="shared" si="0"/>
        <v>SPR13</v>
      </c>
      <c r="B16" s="9">
        <v>9</v>
      </c>
      <c r="C16" s="9">
        <v>5</v>
      </c>
      <c r="D16" s="4" t="s">
        <v>73</v>
      </c>
      <c r="E16" s="4" t="s">
        <v>60</v>
      </c>
      <c r="F16" s="4">
        <v>4</v>
      </c>
      <c r="G16" s="7">
        <v>46006</v>
      </c>
      <c r="H16" s="7">
        <f t="shared" si="3"/>
        <v>46012</v>
      </c>
      <c r="I16" s="4" t="s">
        <v>61</v>
      </c>
      <c r="J16" s="8">
        <f t="shared" si="2"/>
        <v>-1</v>
      </c>
    </row>
    <row r="17" spans="1:10" x14ac:dyDescent="0.25">
      <c r="A17" s="4" t="str">
        <f t="shared" si="0"/>
        <v>SPR14</v>
      </c>
      <c r="B17" s="9">
        <v>9</v>
      </c>
      <c r="C17" s="9">
        <v>5</v>
      </c>
      <c r="D17" s="4" t="s">
        <v>74</v>
      </c>
      <c r="E17" s="4" t="s">
        <v>60</v>
      </c>
      <c r="F17" s="4">
        <v>2</v>
      </c>
      <c r="G17" s="7">
        <v>46006</v>
      </c>
      <c r="H17" s="7">
        <f t="shared" si="3"/>
        <v>46012</v>
      </c>
      <c r="I17" s="4" t="s">
        <v>61</v>
      </c>
      <c r="J17" s="8">
        <f t="shared" si="2"/>
        <v>-2</v>
      </c>
    </row>
    <row r="18" spans="1:10" x14ac:dyDescent="0.25">
      <c r="A18" s="4" t="str">
        <f t="shared" si="0"/>
        <v>SPR15</v>
      </c>
      <c r="B18" s="9">
        <v>10</v>
      </c>
      <c r="C18" s="9">
        <v>6</v>
      </c>
      <c r="D18" s="4" t="s">
        <v>75</v>
      </c>
      <c r="E18" s="4" t="s">
        <v>60</v>
      </c>
      <c r="F18" s="4">
        <v>1</v>
      </c>
      <c r="G18" s="7">
        <v>45985</v>
      </c>
      <c r="H18" s="7">
        <f t="shared" si="3"/>
        <v>45991</v>
      </c>
      <c r="I18" s="4" t="s">
        <v>61</v>
      </c>
      <c r="J18" s="8">
        <f t="shared" si="2"/>
        <v>-2</v>
      </c>
    </row>
    <row r="19" spans="1:10" x14ac:dyDescent="0.25">
      <c r="A19" s="4" t="str">
        <f t="shared" si="0"/>
        <v>SPR16</v>
      </c>
      <c r="B19" s="9">
        <v>13</v>
      </c>
      <c r="C19" s="9">
        <v>16</v>
      </c>
      <c r="D19" s="4" t="s">
        <v>76</v>
      </c>
      <c r="E19" s="4" t="s">
        <v>60</v>
      </c>
      <c r="F19" s="4">
        <v>2</v>
      </c>
      <c r="G19" s="7">
        <v>45950</v>
      </c>
      <c r="H19" s="7">
        <f t="shared" si="3"/>
        <v>45956</v>
      </c>
      <c r="I19" s="4" t="s">
        <v>61</v>
      </c>
      <c r="J19" s="8">
        <f t="shared" si="2"/>
        <v>-1</v>
      </c>
    </row>
    <row r="20" spans="1:10" x14ac:dyDescent="0.25">
      <c r="A20" s="4" t="str">
        <f t="shared" si="0"/>
        <v>SPR17</v>
      </c>
      <c r="B20" s="9">
        <v>2</v>
      </c>
      <c r="C20" s="9">
        <v>1</v>
      </c>
      <c r="D20" s="4" t="s">
        <v>77</v>
      </c>
      <c r="E20" s="4" t="s">
        <v>60</v>
      </c>
      <c r="F20" s="4">
        <v>1</v>
      </c>
      <c r="G20" s="7">
        <v>45985</v>
      </c>
      <c r="H20" s="7">
        <f t="shared" si="3"/>
        <v>45991</v>
      </c>
      <c r="I20" s="4" t="s">
        <v>61</v>
      </c>
      <c r="J20" s="8">
        <f t="shared" si="2"/>
        <v>-2</v>
      </c>
    </row>
    <row r="21" spans="1:10" x14ac:dyDescent="0.25">
      <c r="A21" s="4" t="str">
        <f t="shared" si="0"/>
        <v>SPR18</v>
      </c>
      <c r="B21" s="9">
        <v>2</v>
      </c>
      <c r="C21" s="9">
        <v>1</v>
      </c>
      <c r="D21" s="4" t="s">
        <v>78</v>
      </c>
      <c r="E21" s="4" t="s">
        <v>60</v>
      </c>
      <c r="F21" s="4">
        <v>2</v>
      </c>
      <c r="G21" s="7">
        <v>45992</v>
      </c>
      <c r="H21" s="7">
        <f t="shared" si="3"/>
        <v>45998</v>
      </c>
      <c r="I21" s="4" t="s">
        <v>61</v>
      </c>
      <c r="J21" s="8">
        <f t="shared" si="2"/>
        <v>-4</v>
      </c>
    </row>
    <row r="22" spans="1:10" x14ac:dyDescent="0.25">
      <c r="A22" s="4" t="str">
        <f t="shared" si="0"/>
        <v>SPR19</v>
      </c>
      <c r="B22" s="9">
        <v>2</v>
      </c>
      <c r="C22" s="9">
        <v>1</v>
      </c>
      <c r="D22" s="4" t="s">
        <v>79</v>
      </c>
      <c r="E22" s="4" t="s">
        <v>60</v>
      </c>
      <c r="F22" s="4">
        <v>1</v>
      </c>
      <c r="G22" s="7">
        <v>45992</v>
      </c>
      <c r="H22" s="7">
        <f t="shared" si="3"/>
        <v>45998</v>
      </c>
      <c r="I22" s="4" t="s">
        <v>61</v>
      </c>
      <c r="J22" s="8">
        <f t="shared" si="2"/>
        <v>-2</v>
      </c>
    </row>
    <row r="23" spans="1:10" x14ac:dyDescent="0.25">
      <c r="A23" s="4" t="str">
        <f t="shared" si="0"/>
        <v>SPR20</v>
      </c>
      <c r="B23" s="9">
        <v>2</v>
      </c>
      <c r="C23" s="9">
        <v>1</v>
      </c>
      <c r="D23" s="4" t="s">
        <v>80</v>
      </c>
      <c r="E23" s="4" t="s">
        <v>60</v>
      </c>
      <c r="F23" s="4">
        <v>1</v>
      </c>
      <c r="G23" s="7">
        <v>45992</v>
      </c>
      <c r="H23" s="7">
        <f t="shared" si="3"/>
        <v>45998</v>
      </c>
      <c r="I23" s="4" t="s">
        <v>61</v>
      </c>
      <c r="J23" s="8">
        <f t="shared" si="2"/>
        <v>-1</v>
      </c>
    </row>
    <row r="24" spans="1:10" x14ac:dyDescent="0.25">
      <c r="A24" s="4" t="str">
        <f t="shared" si="0"/>
        <v>SPR21</v>
      </c>
      <c r="B24" s="9">
        <v>2</v>
      </c>
      <c r="C24" s="9">
        <v>14</v>
      </c>
      <c r="D24" s="4" t="s">
        <v>81</v>
      </c>
      <c r="E24" s="4" t="s">
        <v>60</v>
      </c>
      <c r="F24" s="4">
        <v>1</v>
      </c>
      <c r="G24" s="7">
        <v>45999</v>
      </c>
      <c r="H24" s="7">
        <f t="shared" si="3"/>
        <v>46005</v>
      </c>
      <c r="I24" s="4" t="s">
        <v>61</v>
      </c>
      <c r="J24" s="8">
        <f t="shared" si="2"/>
        <v>-2</v>
      </c>
    </row>
    <row r="25" spans="1:10" x14ac:dyDescent="0.25">
      <c r="A25" s="4" t="str">
        <f t="shared" si="0"/>
        <v>SPR22</v>
      </c>
      <c r="B25" s="9">
        <v>2</v>
      </c>
      <c r="C25" s="9">
        <v>1</v>
      </c>
      <c r="D25" s="4" t="s">
        <v>166</v>
      </c>
      <c r="E25" s="4" t="s">
        <v>60</v>
      </c>
      <c r="F25" s="4">
        <v>2</v>
      </c>
      <c r="G25" s="7">
        <v>46013</v>
      </c>
      <c r="H25" s="7">
        <f t="shared" si="3"/>
        <v>46019</v>
      </c>
      <c r="I25" s="4" t="s">
        <v>61</v>
      </c>
      <c r="J25" s="8">
        <f t="shared" si="2"/>
        <v>-1</v>
      </c>
    </row>
    <row r="26" spans="1:10" x14ac:dyDescent="0.25">
      <c r="A26" s="4" t="str">
        <f t="shared" si="0"/>
        <v>SPR23</v>
      </c>
      <c r="B26" s="9">
        <v>5</v>
      </c>
      <c r="C26" s="9">
        <v>7</v>
      </c>
      <c r="D26" s="4" t="s">
        <v>82</v>
      </c>
      <c r="E26" s="4" t="s">
        <v>60</v>
      </c>
      <c r="F26" s="4">
        <v>1</v>
      </c>
      <c r="G26" s="7">
        <v>45999</v>
      </c>
      <c r="H26" s="7">
        <f t="shared" si="3"/>
        <v>46005</v>
      </c>
      <c r="I26" s="4" t="s">
        <v>61</v>
      </c>
      <c r="J26" s="8">
        <f t="shared" si="2"/>
        <v>-2</v>
      </c>
    </row>
    <row r="27" spans="1:10" x14ac:dyDescent="0.25">
      <c r="A27" s="4" t="str">
        <f t="shared" si="0"/>
        <v>SPR24</v>
      </c>
      <c r="B27" s="9">
        <v>7</v>
      </c>
      <c r="C27" s="9">
        <v>9</v>
      </c>
      <c r="D27" s="4" t="s">
        <v>83</v>
      </c>
      <c r="E27" s="4" t="s">
        <v>60</v>
      </c>
      <c r="F27" s="4">
        <v>1</v>
      </c>
      <c r="G27" s="7">
        <v>45999</v>
      </c>
      <c r="H27" s="7">
        <f t="shared" si="3"/>
        <v>46005</v>
      </c>
      <c r="I27" s="4" t="s">
        <v>61</v>
      </c>
      <c r="J27" s="8">
        <f t="shared" si="2"/>
        <v>-1</v>
      </c>
    </row>
    <row r="28" spans="1:10" x14ac:dyDescent="0.25">
      <c r="A28" s="4" t="str">
        <f t="shared" si="0"/>
        <v>SPR25</v>
      </c>
      <c r="B28" s="9" t="s">
        <v>176</v>
      </c>
      <c r="C28" s="9">
        <v>9</v>
      </c>
      <c r="D28" s="4" t="s">
        <v>84</v>
      </c>
      <c r="E28" s="4" t="s">
        <v>60</v>
      </c>
      <c r="F28" s="4">
        <v>2</v>
      </c>
      <c r="G28" s="7">
        <v>45999</v>
      </c>
      <c r="H28" s="7">
        <f t="shared" si="3"/>
        <v>46005</v>
      </c>
      <c r="I28" s="4" t="s">
        <v>61</v>
      </c>
      <c r="J28" s="8">
        <f t="shared" si="2"/>
        <v>-1</v>
      </c>
    </row>
    <row r="29" spans="1:10" x14ac:dyDescent="0.25">
      <c r="A29" s="4" t="str">
        <f t="shared" si="0"/>
        <v>SPR26</v>
      </c>
      <c r="B29" s="9">
        <v>9</v>
      </c>
      <c r="C29" s="9">
        <v>5</v>
      </c>
      <c r="D29" s="4" t="s">
        <v>85</v>
      </c>
      <c r="E29" s="4" t="s">
        <v>60</v>
      </c>
      <c r="F29" s="4">
        <v>1</v>
      </c>
      <c r="G29" s="7">
        <v>46020</v>
      </c>
      <c r="H29" s="7">
        <f t="shared" si="3"/>
        <v>46026</v>
      </c>
      <c r="I29" s="4" t="s">
        <v>61</v>
      </c>
      <c r="J29" s="8"/>
    </row>
    <row r="30" spans="1:10" x14ac:dyDescent="0.25">
      <c r="A30" s="4" t="str">
        <f t="shared" si="0"/>
        <v>SPR27</v>
      </c>
      <c r="B30" s="9">
        <v>9</v>
      </c>
      <c r="C30" s="9">
        <v>5</v>
      </c>
      <c r="D30" s="4" t="s">
        <v>86</v>
      </c>
      <c r="E30" s="4" t="s">
        <v>60</v>
      </c>
      <c r="F30" s="4">
        <v>2</v>
      </c>
      <c r="G30" s="7">
        <v>46020</v>
      </c>
      <c r="H30" s="7">
        <f t="shared" si="3"/>
        <v>46026</v>
      </c>
      <c r="I30" s="4" t="s">
        <v>61</v>
      </c>
      <c r="J30" s="8">
        <f>IF(I24="Complete",-F24,IF(I24="Partially Complete",-F24/2,0))</f>
        <v>-1</v>
      </c>
    </row>
    <row r="31" spans="1:10" x14ac:dyDescent="0.25">
      <c r="A31" s="4" t="str">
        <f t="shared" si="0"/>
        <v>SPR28</v>
      </c>
      <c r="B31" s="9">
        <v>10</v>
      </c>
      <c r="C31" s="9">
        <v>6</v>
      </c>
      <c r="D31" s="4" t="s">
        <v>87</v>
      </c>
      <c r="E31" s="4" t="s">
        <v>60</v>
      </c>
      <c r="F31" s="4">
        <v>2</v>
      </c>
      <c r="G31" s="7">
        <v>46020</v>
      </c>
      <c r="H31" s="7">
        <f t="shared" si="3"/>
        <v>46026</v>
      </c>
      <c r="I31" s="4" t="s">
        <v>61</v>
      </c>
      <c r="J31" s="8">
        <f>IF(I25="Complete",-F25,IF(I25="Partially Complete",-F25/2,0))</f>
        <v>-2</v>
      </c>
    </row>
    <row r="32" spans="1:10" x14ac:dyDescent="0.25">
      <c r="A32" s="4" t="str">
        <f t="shared" si="0"/>
        <v>SPR29</v>
      </c>
      <c r="B32" s="9">
        <v>13</v>
      </c>
      <c r="C32" s="9">
        <v>16</v>
      </c>
      <c r="D32" s="4" t="s">
        <v>88</v>
      </c>
      <c r="E32" s="4" t="s">
        <v>60</v>
      </c>
      <c r="F32" s="4">
        <v>4</v>
      </c>
      <c r="G32" s="7">
        <v>45950</v>
      </c>
      <c r="H32" s="7">
        <f t="shared" si="3"/>
        <v>45956</v>
      </c>
      <c r="I32" s="4" t="s">
        <v>61</v>
      </c>
      <c r="J32" s="8">
        <f>IF(I26="Complete",-F26,IF(I26="Partially Complete",-F26/2,0))</f>
        <v>-1</v>
      </c>
    </row>
    <row r="33" spans="1:10" x14ac:dyDescent="0.25">
      <c r="A33" s="4" t="str">
        <f t="shared" si="0"/>
        <v>SPR30</v>
      </c>
      <c r="B33" s="9">
        <v>1</v>
      </c>
      <c r="C33" s="9">
        <v>14</v>
      </c>
      <c r="D33" s="4" t="s">
        <v>167</v>
      </c>
      <c r="E33" s="4" t="s">
        <v>60</v>
      </c>
      <c r="F33" s="4">
        <v>2</v>
      </c>
      <c r="G33" s="7">
        <v>45950</v>
      </c>
      <c r="H33" s="7">
        <f t="shared" si="3"/>
        <v>45956</v>
      </c>
      <c r="I33" s="4" t="s">
        <v>61</v>
      </c>
      <c r="J33" s="8">
        <f>IF(I27="Complete",-F27,IF(I27="Partially Complete",-F27/2,0))</f>
        <v>-1</v>
      </c>
    </row>
    <row r="34" spans="1:10" x14ac:dyDescent="0.25">
      <c r="A34" s="4" t="str">
        <f t="shared" si="0"/>
        <v>SPR31</v>
      </c>
      <c r="B34" s="9" t="s">
        <v>177</v>
      </c>
      <c r="C34" s="9" t="s">
        <v>174</v>
      </c>
      <c r="D34" s="4" t="s">
        <v>89</v>
      </c>
      <c r="E34" s="4" t="s">
        <v>60</v>
      </c>
      <c r="F34" s="4">
        <v>4</v>
      </c>
      <c r="G34" s="7">
        <v>45662</v>
      </c>
      <c r="H34" s="7">
        <f t="shared" si="3"/>
        <v>45668</v>
      </c>
      <c r="I34" s="4" t="s">
        <v>61</v>
      </c>
      <c r="J34" s="8">
        <f>IF(I28="Complete",-F28,IF(I28="Partially Complete",-F28/2,0))</f>
        <v>-2</v>
      </c>
    </row>
    <row r="35" spans="1:10" x14ac:dyDescent="0.25">
      <c r="A35" s="4" t="str">
        <f t="shared" si="0"/>
        <v>SPR32</v>
      </c>
      <c r="B35" s="9" t="s">
        <v>177</v>
      </c>
      <c r="C35" s="9" t="s">
        <v>174</v>
      </c>
      <c r="D35" s="4" t="s">
        <v>90</v>
      </c>
      <c r="E35" s="4" t="s">
        <v>60</v>
      </c>
      <c r="F35" s="4">
        <v>4</v>
      </c>
      <c r="G35" s="7">
        <v>45669</v>
      </c>
      <c r="H35" s="7">
        <f t="shared" si="3"/>
        <v>45675</v>
      </c>
      <c r="I35" s="4" t="s">
        <v>61</v>
      </c>
      <c r="J35" s="8"/>
    </row>
    <row r="36" spans="1:10" x14ac:dyDescent="0.25">
      <c r="A36" s="4" t="str">
        <f t="shared" si="0"/>
        <v>SPR33</v>
      </c>
      <c r="B36" s="9" t="s">
        <v>178</v>
      </c>
      <c r="C36" s="9" t="s">
        <v>175</v>
      </c>
      <c r="D36" s="4" t="s">
        <v>91</v>
      </c>
      <c r="E36" s="4" t="s">
        <v>60</v>
      </c>
      <c r="F36" s="4">
        <v>4</v>
      </c>
      <c r="G36" s="7">
        <v>45669</v>
      </c>
      <c r="H36" s="7">
        <f t="shared" si="3"/>
        <v>45675</v>
      </c>
      <c r="I36" s="4" t="s">
        <v>61</v>
      </c>
      <c r="J36" s="8"/>
    </row>
    <row r="37" spans="1:10" x14ac:dyDescent="0.25">
      <c r="A37" s="4" t="str">
        <f t="shared" si="0"/>
        <v>SPR34</v>
      </c>
      <c r="B37" s="9">
        <v>10</v>
      </c>
      <c r="C37" s="9">
        <v>6</v>
      </c>
      <c r="D37" s="4" t="s">
        <v>92</v>
      </c>
      <c r="E37" s="4" t="s">
        <v>60</v>
      </c>
      <c r="F37" s="4">
        <v>2</v>
      </c>
      <c r="G37" s="7">
        <v>45669</v>
      </c>
      <c r="H37" s="7">
        <f t="shared" si="3"/>
        <v>45675</v>
      </c>
      <c r="I37" s="4" t="s">
        <v>61</v>
      </c>
      <c r="J37" s="8">
        <f>IF(I29="Complete",-F29,IF(I29="Partially Complete",-F29/2,0))</f>
        <v>-1</v>
      </c>
    </row>
    <row r="38" spans="1:10" x14ac:dyDescent="0.25">
      <c r="A38" s="4" t="str">
        <f t="shared" si="0"/>
        <v>SPR35</v>
      </c>
      <c r="B38" s="9" t="s">
        <v>177</v>
      </c>
      <c r="C38" s="9">
        <v>17</v>
      </c>
      <c r="D38" s="4" t="s">
        <v>93</v>
      </c>
      <c r="E38" s="4" t="s">
        <v>60</v>
      </c>
      <c r="F38" s="4">
        <v>8</v>
      </c>
      <c r="G38" s="7">
        <v>45676</v>
      </c>
      <c r="H38" s="7">
        <f t="shared" si="3"/>
        <v>45682</v>
      </c>
      <c r="I38" s="4" t="s">
        <v>61</v>
      </c>
      <c r="J38" s="8">
        <f>IF(I30="Complete",-F30,IF(I30="Partially Complete",-F30/2,0))</f>
        <v>-2</v>
      </c>
    </row>
    <row r="39" spans="1:10" x14ac:dyDescent="0.25">
      <c r="A39" s="4" t="str">
        <f t="shared" si="0"/>
        <v>SPR36</v>
      </c>
      <c r="B39" s="9" t="s">
        <v>178</v>
      </c>
      <c r="C39" s="9">
        <v>17</v>
      </c>
      <c r="D39" s="4" t="s">
        <v>94</v>
      </c>
      <c r="E39" s="4" t="s">
        <v>60</v>
      </c>
      <c r="F39" s="4">
        <v>2</v>
      </c>
      <c r="G39" s="7">
        <v>45683</v>
      </c>
      <c r="H39" s="7">
        <f t="shared" si="3"/>
        <v>45689</v>
      </c>
      <c r="I39" s="4" t="s">
        <v>61</v>
      </c>
      <c r="J39" s="8">
        <f>IF(I31="Complete",-F31,IF(I31="Partially Complete",-F31/2,0))</f>
        <v>-2</v>
      </c>
    </row>
    <row r="40" spans="1:10" x14ac:dyDescent="0.25">
      <c r="A40" s="4" t="str">
        <f t="shared" si="0"/>
        <v>SPR37</v>
      </c>
      <c r="B40" s="9">
        <v>10</v>
      </c>
      <c r="C40" s="9">
        <v>17</v>
      </c>
      <c r="D40" s="4" t="s">
        <v>95</v>
      </c>
      <c r="E40" s="4" t="s">
        <v>60</v>
      </c>
      <c r="F40" s="4">
        <v>2</v>
      </c>
      <c r="G40" s="7">
        <v>45690</v>
      </c>
      <c r="H40" s="7">
        <f t="shared" si="3"/>
        <v>45696</v>
      </c>
      <c r="I40" s="4" t="s">
        <v>61</v>
      </c>
      <c r="J40" s="8"/>
    </row>
    <row r="41" spans="1:10" x14ac:dyDescent="0.25">
      <c r="A41" s="4" t="str">
        <f t="shared" si="0"/>
        <v>SPR38</v>
      </c>
      <c r="B41" s="9">
        <v>13</v>
      </c>
      <c r="C41" s="9">
        <v>17</v>
      </c>
      <c r="D41" s="4" t="s">
        <v>168</v>
      </c>
      <c r="E41" s="4" t="s">
        <v>60</v>
      </c>
      <c r="F41" s="4">
        <v>1</v>
      </c>
      <c r="G41" s="7">
        <v>45690</v>
      </c>
      <c r="H41" s="7">
        <f t="shared" si="3"/>
        <v>45696</v>
      </c>
      <c r="I41" s="4" t="s">
        <v>61</v>
      </c>
      <c r="J41" s="8">
        <f t="shared" ref="J41:J49" si="4">IF(I32="Complete",-F32,IF(I32="Partially Complete",-F32/2,0))</f>
        <v>-4</v>
      </c>
    </row>
    <row r="42" spans="1:10" x14ac:dyDescent="0.25">
      <c r="J42" s="8">
        <f t="shared" si="4"/>
        <v>-2</v>
      </c>
    </row>
    <row r="43" spans="1:10" x14ac:dyDescent="0.25">
      <c r="J43" s="8">
        <f t="shared" si="4"/>
        <v>-4</v>
      </c>
    </row>
    <row r="44" spans="1:10" x14ac:dyDescent="0.25">
      <c r="J44" s="8">
        <f t="shared" si="4"/>
        <v>-4</v>
      </c>
    </row>
    <row r="45" spans="1:10" x14ac:dyDescent="0.25">
      <c r="J45" s="8">
        <f t="shared" si="4"/>
        <v>-4</v>
      </c>
    </row>
    <row r="46" spans="1:10" x14ac:dyDescent="0.25">
      <c r="J46" s="8">
        <f t="shared" si="4"/>
        <v>-2</v>
      </c>
    </row>
    <row r="47" spans="1:10" x14ac:dyDescent="0.25">
      <c r="J47" s="8">
        <f t="shared" si="4"/>
        <v>-8</v>
      </c>
    </row>
    <row r="48" spans="1:10" x14ac:dyDescent="0.25">
      <c r="J48" s="8">
        <f t="shared" si="4"/>
        <v>-2</v>
      </c>
    </row>
    <row r="49" spans="10:10" x14ac:dyDescent="0.25">
      <c r="J49" s="8">
        <f t="shared" si="4"/>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C2C71-5543-4C09-AB1F-C112A4732804}">
  <dimension ref="A1:T20"/>
  <sheetViews>
    <sheetView topLeftCell="A7" zoomScale="85" zoomScaleNormal="85" workbookViewId="0">
      <selection activeCell="P36" sqref="P36"/>
    </sheetView>
  </sheetViews>
  <sheetFormatPr defaultRowHeight="15" x14ac:dyDescent="0.25"/>
  <sheetData>
    <row r="1" spans="1:20" x14ac:dyDescent="0.25">
      <c r="A1" s="16" t="s">
        <v>0</v>
      </c>
      <c r="B1" s="16"/>
      <c r="C1" s="16"/>
      <c r="D1" s="16" t="s">
        <v>3</v>
      </c>
      <c r="E1" s="16"/>
      <c r="F1" s="16"/>
      <c r="G1" s="16"/>
      <c r="H1" s="16"/>
      <c r="I1" s="16"/>
    </row>
    <row r="2" spans="1:20" x14ac:dyDescent="0.25">
      <c r="A2" s="16" t="s">
        <v>2</v>
      </c>
      <c r="B2" s="16"/>
      <c r="C2" s="16"/>
      <c r="D2" s="16" t="s">
        <v>17</v>
      </c>
      <c r="E2" s="16"/>
      <c r="F2" s="16"/>
      <c r="G2" s="16"/>
      <c r="H2" s="16"/>
      <c r="I2" s="16"/>
    </row>
    <row r="3" spans="1:20" x14ac:dyDescent="0.25">
      <c r="A3" s="16" t="s">
        <v>1</v>
      </c>
      <c r="B3" s="16"/>
      <c r="C3" s="16"/>
      <c r="D3" s="16">
        <v>1.3</v>
      </c>
      <c r="E3" s="16"/>
      <c r="F3" s="16"/>
      <c r="G3" s="16"/>
      <c r="H3" s="16"/>
      <c r="I3" s="16"/>
    </row>
    <row r="4" spans="1:20" x14ac:dyDescent="0.25">
      <c r="A4" s="16" t="s">
        <v>4</v>
      </c>
      <c r="B4" s="16"/>
      <c r="C4" s="16"/>
      <c r="D4" s="16" t="s">
        <v>8</v>
      </c>
      <c r="E4" s="16"/>
      <c r="F4" s="16"/>
      <c r="G4" s="16"/>
      <c r="H4" s="16"/>
      <c r="I4" s="16"/>
    </row>
    <row r="5" spans="1:20" x14ac:dyDescent="0.25">
      <c r="A5" s="16" t="s">
        <v>5</v>
      </c>
      <c r="B5" s="16"/>
      <c r="C5" s="16"/>
      <c r="D5" s="17">
        <v>46006</v>
      </c>
      <c r="E5" s="16"/>
      <c r="F5" s="16"/>
      <c r="G5" s="16"/>
      <c r="H5" s="16"/>
      <c r="I5" s="16"/>
    </row>
    <row r="6" spans="1:20" x14ac:dyDescent="0.25">
      <c r="A6" s="16" t="s">
        <v>6</v>
      </c>
      <c r="B6" s="16"/>
      <c r="C6" s="16"/>
      <c r="D6" s="16" t="s">
        <v>8</v>
      </c>
      <c r="E6" s="16"/>
      <c r="F6" s="16"/>
      <c r="G6" s="16"/>
      <c r="H6" s="16"/>
      <c r="I6" s="16"/>
    </row>
    <row r="7" spans="1:20" x14ac:dyDescent="0.25">
      <c r="A7" s="16" t="s">
        <v>7</v>
      </c>
      <c r="B7" s="16"/>
      <c r="C7" s="16"/>
      <c r="D7" s="17">
        <v>46012</v>
      </c>
      <c r="E7" s="16"/>
      <c r="F7" s="16"/>
      <c r="G7" s="16"/>
      <c r="H7" s="16"/>
      <c r="I7" s="16"/>
    </row>
    <row r="9" spans="1:20" ht="15.75" thickBot="1" x14ac:dyDescent="0.3"/>
    <row r="10" spans="1:20" ht="15.75" thickTop="1" x14ac:dyDescent="0.25">
      <c r="A10" s="14" t="s">
        <v>9</v>
      </c>
      <c r="B10" s="14"/>
      <c r="C10" s="14" t="s">
        <v>10</v>
      </c>
      <c r="D10" s="14"/>
      <c r="E10" s="14" t="s">
        <v>11</v>
      </c>
      <c r="F10" s="14"/>
      <c r="G10" s="14" t="s">
        <v>12</v>
      </c>
      <c r="H10" s="14"/>
      <c r="I10" s="14" t="s">
        <v>13</v>
      </c>
      <c r="J10" s="14"/>
      <c r="K10" s="14" t="s">
        <v>14</v>
      </c>
      <c r="L10" s="14"/>
      <c r="M10" s="14" t="s">
        <v>15</v>
      </c>
      <c r="N10" s="14"/>
      <c r="O10" s="14" t="s">
        <v>16</v>
      </c>
      <c r="P10" s="14"/>
      <c r="Q10" s="14"/>
      <c r="R10" s="14"/>
      <c r="S10" s="14"/>
      <c r="T10" s="14"/>
    </row>
    <row r="11" spans="1:20" x14ac:dyDescent="0.25">
      <c r="A11" s="15">
        <v>1</v>
      </c>
      <c r="B11" s="15"/>
      <c r="C11" s="15" t="s">
        <v>22</v>
      </c>
      <c r="D11" s="15"/>
      <c r="E11" s="15" t="s">
        <v>27</v>
      </c>
      <c r="F11" s="15"/>
      <c r="G11" s="15" t="s">
        <v>23</v>
      </c>
      <c r="H11" s="15"/>
      <c r="I11" s="15" t="s">
        <v>24</v>
      </c>
      <c r="J11" s="15"/>
      <c r="K11" s="15" t="s">
        <v>24</v>
      </c>
      <c r="L11" s="15"/>
      <c r="M11" s="15" t="s">
        <v>25</v>
      </c>
      <c r="N11" s="15"/>
      <c r="O11" s="15" t="s">
        <v>35</v>
      </c>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sheetData>
  <mergeCells count="30">
    <mergeCell ref="A1:C1"/>
    <mergeCell ref="A2:C2"/>
    <mergeCell ref="A3:C3"/>
    <mergeCell ref="D1:I1"/>
    <mergeCell ref="D2:I2"/>
    <mergeCell ref="D3:I3"/>
    <mergeCell ref="A4:C4"/>
    <mergeCell ref="A5:C5"/>
    <mergeCell ref="A6:C6"/>
    <mergeCell ref="A7:C7"/>
    <mergeCell ref="D4:I4"/>
    <mergeCell ref="D5:I5"/>
    <mergeCell ref="D6:I6"/>
    <mergeCell ref="D7:I7"/>
    <mergeCell ref="M10:N10"/>
    <mergeCell ref="O10:T10"/>
    <mergeCell ref="A11:B20"/>
    <mergeCell ref="C11:D20"/>
    <mergeCell ref="E11:F20"/>
    <mergeCell ref="G11:H20"/>
    <mergeCell ref="I11:J20"/>
    <mergeCell ref="K11:L20"/>
    <mergeCell ref="M11:N20"/>
    <mergeCell ref="O11:T20"/>
    <mergeCell ref="A10:B10"/>
    <mergeCell ref="C10:D10"/>
    <mergeCell ref="E10:F10"/>
    <mergeCell ref="G10:H10"/>
    <mergeCell ref="I10:J10"/>
    <mergeCell ref="K10:L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896B-E7F1-4EED-98A9-757131DD369B}">
  <dimension ref="A1:T20"/>
  <sheetViews>
    <sheetView topLeftCell="A9" workbookViewId="0">
      <selection sqref="A1:I7"/>
    </sheetView>
  </sheetViews>
  <sheetFormatPr defaultRowHeight="15" x14ac:dyDescent="0.25"/>
  <sheetData>
    <row r="1" spans="1:20" x14ac:dyDescent="0.25">
      <c r="A1" s="16" t="s">
        <v>0</v>
      </c>
      <c r="B1" s="16"/>
      <c r="C1" s="16"/>
      <c r="D1" s="16" t="s">
        <v>3</v>
      </c>
      <c r="E1" s="16"/>
      <c r="F1" s="16"/>
      <c r="G1" s="16"/>
      <c r="H1" s="16"/>
      <c r="I1" s="16"/>
    </row>
    <row r="2" spans="1:20" x14ac:dyDescent="0.25">
      <c r="A2" s="16" t="s">
        <v>2</v>
      </c>
      <c r="B2" s="16"/>
      <c r="C2" s="16"/>
      <c r="D2" s="16" t="s">
        <v>18</v>
      </c>
      <c r="E2" s="16"/>
      <c r="F2" s="16"/>
      <c r="G2" s="16"/>
      <c r="H2" s="16"/>
      <c r="I2" s="16"/>
    </row>
    <row r="3" spans="1:20" x14ac:dyDescent="0.25">
      <c r="A3" s="16" t="s">
        <v>1</v>
      </c>
      <c r="B3" s="16"/>
      <c r="C3" s="16"/>
      <c r="D3" s="16">
        <v>1.3</v>
      </c>
      <c r="E3" s="16"/>
      <c r="F3" s="16"/>
      <c r="G3" s="16"/>
      <c r="H3" s="16"/>
      <c r="I3" s="16"/>
    </row>
    <row r="4" spans="1:20" x14ac:dyDescent="0.25">
      <c r="A4" s="16" t="s">
        <v>4</v>
      </c>
      <c r="B4" s="16"/>
      <c r="C4" s="16"/>
      <c r="D4" s="16" t="s">
        <v>8</v>
      </c>
      <c r="E4" s="16"/>
      <c r="F4" s="16"/>
      <c r="G4" s="16"/>
      <c r="H4" s="16"/>
      <c r="I4" s="16"/>
    </row>
    <row r="5" spans="1:20" x14ac:dyDescent="0.25">
      <c r="A5" s="16" t="s">
        <v>5</v>
      </c>
      <c r="B5" s="16"/>
      <c r="C5" s="16"/>
      <c r="D5" s="17">
        <v>46006</v>
      </c>
      <c r="E5" s="16"/>
      <c r="F5" s="16"/>
      <c r="G5" s="16"/>
      <c r="H5" s="16"/>
      <c r="I5" s="16"/>
    </row>
    <row r="6" spans="1:20" x14ac:dyDescent="0.25">
      <c r="A6" s="16" t="s">
        <v>6</v>
      </c>
      <c r="B6" s="16"/>
      <c r="C6" s="16"/>
      <c r="D6" s="16" t="s">
        <v>8</v>
      </c>
      <c r="E6" s="16"/>
      <c r="F6" s="16"/>
      <c r="G6" s="16"/>
      <c r="H6" s="16"/>
      <c r="I6" s="16"/>
    </row>
    <row r="7" spans="1:20" x14ac:dyDescent="0.25">
      <c r="A7" s="16" t="s">
        <v>7</v>
      </c>
      <c r="B7" s="16"/>
      <c r="C7" s="16"/>
      <c r="D7" s="17">
        <v>46012</v>
      </c>
      <c r="E7" s="16"/>
      <c r="F7" s="16"/>
      <c r="G7" s="16"/>
      <c r="H7" s="16"/>
      <c r="I7" s="16"/>
    </row>
    <row r="9" spans="1:20" ht="15.75" thickBot="1" x14ac:dyDescent="0.3"/>
    <row r="10" spans="1:20" ht="15.75" thickTop="1" x14ac:dyDescent="0.25">
      <c r="A10" s="14" t="s">
        <v>9</v>
      </c>
      <c r="B10" s="14"/>
      <c r="C10" s="14" t="s">
        <v>10</v>
      </c>
      <c r="D10" s="14"/>
      <c r="E10" s="14" t="s">
        <v>11</v>
      </c>
      <c r="F10" s="14"/>
      <c r="G10" s="14" t="s">
        <v>12</v>
      </c>
      <c r="H10" s="14"/>
      <c r="I10" s="14" t="s">
        <v>13</v>
      </c>
      <c r="J10" s="14"/>
      <c r="K10" s="14" t="s">
        <v>14</v>
      </c>
      <c r="L10" s="14"/>
      <c r="M10" s="14" t="s">
        <v>15</v>
      </c>
      <c r="N10" s="14"/>
      <c r="O10" s="14" t="s">
        <v>16</v>
      </c>
      <c r="P10" s="14"/>
      <c r="Q10" s="14"/>
      <c r="R10" s="14"/>
      <c r="S10" s="14"/>
      <c r="T10" s="14"/>
    </row>
    <row r="11" spans="1:20" x14ac:dyDescent="0.25">
      <c r="A11" s="15">
        <v>2</v>
      </c>
      <c r="B11" s="15"/>
      <c r="C11" s="15" t="s">
        <v>26</v>
      </c>
      <c r="D11" s="15"/>
      <c r="E11" s="15" t="s">
        <v>28</v>
      </c>
      <c r="F11" s="15"/>
      <c r="G11" s="15" t="s">
        <v>29</v>
      </c>
      <c r="H11" s="15"/>
      <c r="I11" s="15" t="s">
        <v>30</v>
      </c>
      <c r="J11" s="15"/>
      <c r="K11" s="15" t="s">
        <v>30</v>
      </c>
      <c r="L11" s="15"/>
      <c r="M11" s="15" t="s">
        <v>25</v>
      </c>
      <c r="N11" s="15"/>
      <c r="O11" s="15" t="s">
        <v>36</v>
      </c>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sheetData>
  <mergeCells count="30">
    <mergeCell ref="A1:C1"/>
    <mergeCell ref="D1:I1"/>
    <mergeCell ref="A2:C2"/>
    <mergeCell ref="D2:I2"/>
    <mergeCell ref="A3:C3"/>
    <mergeCell ref="D3:I3"/>
    <mergeCell ref="A4:C4"/>
    <mergeCell ref="D4:I4"/>
    <mergeCell ref="A5:C5"/>
    <mergeCell ref="D5:I5"/>
    <mergeCell ref="A6:C6"/>
    <mergeCell ref="D6:I6"/>
    <mergeCell ref="A7:C7"/>
    <mergeCell ref="D7:I7"/>
    <mergeCell ref="A10:B10"/>
    <mergeCell ref="C10:D10"/>
    <mergeCell ref="E10:F10"/>
    <mergeCell ref="G10:H10"/>
    <mergeCell ref="I10:J10"/>
    <mergeCell ref="O11:T20"/>
    <mergeCell ref="K10:L10"/>
    <mergeCell ref="M10:N10"/>
    <mergeCell ref="O10:T10"/>
    <mergeCell ref="A11:B20"/>
    <mergeCell ref="C11:D20"/>
    <mergeCell ref="E11:F20"/>
    <mergeCell ref="G11:H20"/>
    <mergeCell ref="I11:J20"/>
    <mergeCell ref="K11:L20"/>
    <mergeCell ref="M11:N2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13ADD-A76B-48B2-A941-15A3C51C0425}">
  <dimension ref="A1:T20"/>
  <sheetViews>
    <sheetView workbookViewId="0">
      <selection sqref="A1:I7"/>
    </sheetView>
  </sheetViews>
  <sheetFormatPr defaultRowHeight="15" x14ac:dyDescent="0.25"/>
  <sheetData>
    <row r="1" spans="1:20" x14ac:dyDescent="0.25">
      <c r="A1" s="16" t="s">
        <v>0</v>
      </c>
      <c r="B1" s="16"/>
      <c r="C1" s="16"/>
      <c r="D1" s="16" t="s">
        <v>3</v>
      </c>
      <c r="E1" s="16"/>
      <c r="F1" s="16"/>
      <c r="G1" s="16"/>
      <c r="H1" s="16"/>
      <c r="I1" s="16"/>
    </row>
    <row r="2" spans="1:20" x14ac:dyDescent="0.25">
      <c r="A2" s="16" t="s">
        <v>2</v>
      </c>
      <c r="B2" s="16"/>
      <c r="C2" s="16"/>
      <c r="D2" s="16" t="s">
        <v>19</v>
      </c>
      <c r="E2" s="16"/>
      <c r="F2" s="16"/>
      <c r="G2" s="16"/>
      <c r="H2" s="16"/>
      <c r="I2" s="16"/>
    </row>
    <row r="3" spans="1:20" x14ac:dyDescent="0.25">
      <c r="A3" s="16" t="s">
        <v>1</v>
      </c>
      <c r="B3" s="16"/>
      <c r="C3" s="16"/>
      <c r="D3" s="16">
        <v>1.3</v>
      </c>
      <c r="E3" s="16"/>
      <c r="F3" s="16"/>
      <c r="G3" s="16"/>
      <c r="H3" s="16"/>
      <c r="I3" s="16"/>
    </row>
    <row r="4" spans="1:20" x14ac:dyDescent="0.25">
      <c r="A4" s="16" t="s">
        <v>4</v>
      </c>
      <c r="B4" s="16"/>
      <c r="C4" s="16"/>
      <c r="D4" s="16" t="s">
        <v>8</v>
      </c>
      <c r="E4" s="16"/>
      <c r="F4" s="16"/>
      <c r="G4" s="16"/>
      <c r="H4" s="16"/>
      <c r="I4" s="16"/>
    </row>
    <row r="5" spans="1:20" x14ac:dyDescent="0.25">
      <c r="A5" s="16" t="s">
        <v>5</v>
      </c>
      <c r="B5" s="16"/>
      <c r="C5" s="16"/>
      <c r="D5" s="17">
        <v>46006</v>
      </c>
      <c r="E5" s="16"/>
      <c r="F5" s="16"/>
      <c r="G5" s="16"/>
      <c r="H5" s="16"/>
      <c r="I5" s="16"/>
    </row>
    <row r="6" spans="1:20" x14ac:dyDescent="0.25">
      <c r="A6" s="16" t="s">
        <v>6</v>
      </c>
      <c r="B6" s="16"/>
      <c r="C6" s="16"/>
      <c r="D6" s="16" t="s">
        <v>8</v>
      </c>
      <c r="E6" s="16"/>
      <c r="F6" s="16"/>
      <c r="G6" s="16"/>
      <c r="H6" s="16"/>
      <c r="I6" s="16"/>
    </row>
    <row r="7" spans="1:20" x14ac:dyDescent="0.25">
      <c r="A7" s="16" t="s">
        <v>7</v>
      </c>
      <c r="B7" s="16"/>
      <c r="C7" s="16"/>
      <c r="D7" s="17">
        <v>46012</v>
      </c>
      <c r="E7" s="16"/>
      <c r="F7" s="16"/>
      <c r="G7" s="16"/>
      <c r="H7" s="16"/>
      <c r="I7" s="16"/>
    </row>
    <row r="9" spans="1:20" ht="15.75" thickBot="1" x14ac:dyDescent="0.3"/>
    <row r="10" spans="1:20" ht="15.75" thickTop="1" x14ac:dyDescent="0.25">
      <c r="A10" s="14" t="s">
        <v>9</v>
      </c>
      <c r="B10" s="14"/>
      <c r="C10" s="14" t="s">
        <v>10</v>
      </c>
      <c r="D10" s="14"/>
      <c r="E10" s="14" t="s">
        <v>11</v>
      </c>
      <c r="F10" s="14"/>
      <c r="G10" s="14" t="s">
        <v>12</v>
      </c>
      <c r="H10" s="14"/>
      <c r="I10" s="14" t="s">
        <v>13</v>
      </c>
      <c r="J10" s="14"/>
      <c r="K10" s="14" t="s">
        <v>14</v>
      </c>
      <c r="L10" s="14"/>
      <c r="M10" s="14" t="s">
        <v>15</v>
      </c>
      <c r="N10" s="14"/>
      <c r="O10" s="14" t="s">
        <v>16</v>
      </c>
      <c r="P10" s="14"/>
      <c r="Q10" s="14"/>
      <c r="R10" s="14"/>
      <c r="S10" s="14"/>
      <c r="T10" s="14"/>
    </row>
    <row r="11" spans="1:20" x14ac:dyDescent="0.25">
      <c r="A11" s="15">
        <v>3</v>
      </c>
      <c r="B11" s="15"/>
      <c r="C11" s="15" t="s">
        <v>31</v>
      </c>
      <c r="D11" s="15"/>
      <c r="E11" s="15" t="s">
        <v>32</v>
      </c>
      <c r="F11" s="15"/>
      <c r="G11" s="15" t="s">
        <v>33</v>
      </c>
      <c r="H11" s="15"/>
      <c r="I11" s="15" t="s">
        <v>34</v>
      </c>
      <c r="J11" s="15"/>
      <c r="K11" s="15" t="s">
        <v>34</v>
      </c>
      <c r="L11" s="15"/>
      <c r="M11" s="15" t="s">
        <v>25</v>
      </c>
      <c r="N11" s="15"/>
      <c r="O11" s="15" t="s">
        <v>37</v>
      </c>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sheetData>
  <mergeCells count="30">
    <mergeCell ref="A1:C1"/>
    <mergeCell ref="D1:I1"/>
    <mergeCell ref="A2:C2"/>
    <mergeCell ref="D2:I2"/>
    <mergeCell ref="A3:C3"/>
    <mergeCell ref="D3:I3"/>
    <mergeCell ref="A4:C4"/>
    <mergeCell ref="D4:I4"/>
    <mergeCell ref="A5:C5"/>
    <mergeCell ref="D5:I5"/>
    <mergeCell ref="A6:C6"/>
    <mergeCell ref="D6:I6"/>
    <mergeCell ref="A7:C7"/>
    <mergeCell ref="D7:I7"/>
    <mergeCell ref="A10:B10"/>
    <mergeCell ref="C10:D10"/>
    <mergeCell ref="E10:F10"/>
    <mergeCell ref="G10:H10"/>
    <mergeCell ref="I10:J10"/>
    <mergeCell ref="O11:T20"/>
    <mergeCell ref="K10:L10"/>
    <mergeCell ref="M10:N10"/>
    <mergeCell ref="O10:T10"/>
    <mergeCell ref="A11:B20"/>
    <mergeCell ref="C11:D20"/>
    <mergeCell ref="E11:F20"/>
    <mergeCell ref="G11:H20"/>
    <mergeCell ref="I11:J20"/>
    <mergeCell ref="K11:L20"/>
    <mergeCell ref="M11:N2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CDCEB-F890-4C7C-A7B2-9CB885F0C6BA}">
  <dimension ref="A1:T20"/>
  <sheetViews>
    <sheetView workbookViewId="0">
      <selection sqref="A1:I7"/>
    </sheetView>
  </sheetViews>
  <sheetFormatPr defaultRowHeight="15" x14ac:dyDescent="0.25"/>
  <sheetData>
    <row r="1" spans="1:20" x14ac:dyDescent="0.25">
      <c r="A1" s="16" t="s">
        <v>0</v>
      </c>
      <c r="B1" s="16"/>
      <c r="C1" s="16"/>
      <c r="D1" s="16" t="s">
        <v>3</v>
      </c>
      <c r="E1" s="16"/>
      <c r="F1" s="16"/>
      <c r="G1" s="16"/>
      <c r="H1" s="16"/>
      <c r="I1" s="16"/>
    </row>
    <row r="2" spans="1:20" x14ac:dyDescent="0.25">
      <c r="A2" s="16" t="s">
        <v>2</v>
      </c>
      <c r="B2" s="16"/>
      <c r="C2" s="16"/>
      <c r="D2" s="16" t="s">
        <v>20</v>
      </c>
      <c r="E2" s="16"/>
      <c r="F2" s="16"/>
      <c r="G2" s="16"/>
      <c r="H2" s="16"/>
      <c r="I2" s="16"/>
    </row>
    <row r="3" spans="1:20" x14ac:dyDescent="0.25">
      <c r="A3" s="16" t="s">
        <v>1</v>
      </c>
      <c r="B3" s="16"/>
      <c r="C3" s="16"/>
      <c r="D3" s="16">
        <v>1.3</v>
      </c>
      <c r="E3" s="16"/>
      <c r="F3" s="16"/>
      <c r="G3" s="16"/>
      <c r="H3" s="16"/>
      <c r="I3" s="16"/>
    </row>
    <row r="4" spans="1:20" x14ac:dyDescent="0.25">
      <c r="A4" s="16" t="s">
        <v>4</v>
      </c>
      <c r="B4" s="16"/>
      <c r="C4" s="16"/>
      <c r="D4" s="16" t="s">
        <v>8</v>
      </c>
      <c r="E4" s="16"/>
      <c r="F4" s="16"/>
      <c r="G4" s="16"/>
      <c r="H4" s="16"/>
      <c r="I4" s="16"/>
    </row>
    <row r="5" spans="1:20" x14ac:dyDescent="0.25">
      <c r="A5" s="16" t="s">
        <v>5</v>
      </c>
      <c r="B5" s="16"/>
      <c r="C5" s="16"/>
      <c r="D5" s="17">
        <v>46006</v>
      </c>
      <c r="E5" s="16"/>
      <c r="F5" s="16"/>
      <c r="G5" s="16"/>
      <c r="H5" s="16"/>
      <c r="I5" s="16"/>
    </row>
    <row r="6" spans="1:20" x14ac:dyDescent="0.25">
      <c r="A6" s="16" t="s">
        <v>6</v>
      </c>
      <c r="B6" s="16"/>
      <c r="C6" s="16"/>
      <c r="D6" s="16" t="s">
        <v>8</v>
      </c>
      <c r="E6" s="16"/>
      <c r="F6" s="16"/>
      <c r="G6" s="16"/>
      <c r="H6" s="16"/>
      <c r="I6" s="16"/>
    </row>
    <row r="7" spans="1:20" x14ac:dyDescent="0.25">
      <c r="A7" s="16" t="s">
        <v>7</v>
      </c>
      <c r="B7" s="16"/>
      <c r="C7" s="16"/>
      <c r="D7" s="17">
        <v>46012</v>
      </c>
      <c r="E7" s="16"/>
      <c r="F7" s="16"/>
      <c r="G7" s="16"/>
      <c r="H7" s="16"/>
      <c r="I7" s="16"/>
    </row>
    <row r="9" spans="1:20" ht="15.75" thickBot="1" x14ac:dyDescent="0.3"/>
    <row r="10" spans="1:20" ht="15.75" thickTop="1" x14ac:dyDescent="0.25">
      <c r="A10" s="14" t="s">
        <v>9</v>
      </c>
      <c r="B10" s="14"/>
      <c r="C10" s="14" t="s">
        <v>10</v>
      </c>
      <c r="D10" s="14"/>
      <c r="E10" s="14" t="s">
        <v>11</v>
      </c>
      <c r="F10" s="14"/>
      <c r="G10" s="14" t="s">
        <v>12</v>
      </c>
      <c r="H10" s="14"/>
      <c r="I10" s="14" t="s">
        <v>13</v>
      </c>
      <c r="J10" s="14"/>
      <c r="K10" s="14" t="s">
        <v>14</v>
      </c>
      <c r="L10" s="14"/>
      <c r="M10" s="14" t="s">
        <v>15</v>
      </c>
      <c r="N10" s="14"/>
      <c r="O10" s="14" t="s">
        <v>16</v>
      </c>
      <c r="P10" s="14"/>
      <c r="Q10" s="14"/>
      <c r="R10" s="14"/>
      <c r="S10" s="14"/>
      <c r="T10" s="14"/>
    </row>
    <row r="11" spans="1:20" x14ac:dyDescent="0.25">
      <c r="A11" s="15">
        <v>4</v>
      </c>
      <c r="B11" s="15"/>
      <c r="C11" s="15" t="s">
        <v>38</v>
      </c>
      <c r="D11" s="15"/>
      <c r="E11" s="15" t="s">
        <v>39</v>
      </c>
      <c r="F11" s="15"/>
      <c r="G11" s="15" t="s">
        <v>40</v>
      </c>
      <c r="H11" s="15"/>
      <c r="I11" s="15" t="s">
        <v>34</v>
      </c>
      <c r="J11" s="15"/>
      <c r="K11" s="15" t="s">
        <v>34</v>
      </c>
      <c r="L11" s="15"/>
      <c r="M11" s="15" t="s">
        <v>25</v>
      </c>
      <c r="N11" s="15"/>
      <c r="O11" s="15" t="s">
        <v>41</v>
      </c>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sheetData>
  <mergeCells count="30">
    <mergeCell ref="A1:C1"/>
    <mergeCell ref="D1:I1"/>
    <mergeCell ref="A2:C2"/>
    <mergeCell ref="D2:I2"/>
    <mergeCell ref="A3:C3"/>
    <mergeCell ref="D3:I3"/>
    <mergeCell ref="A4:C4"/>
    <mergeCell ref="D4:I4"/>
    <mergeCell ref="A5:C5"/>
    <mergeCell ref="D5:I5"/>
    <mergeCell ref="A6:C6"/>
    <mergeCell ref="D6:I6"/>
    <mergeCell ref="A7:C7"/>
    <mergeCell ref="D7:I7"/>
    <mergeCell ref="A10:B10"/>
    <mergeCell ref="C10:D10"/>
    <mergeCell ref="E10:F10"/>
    <mergeCell ref="G10:H10"/>
    <mergeCell ref="I10:J10"/>
    <mergeCell ref="O11:T20"/>
    <mergeCell ref="K10:L10"/>
    <mergeCell ref="M10:N10"/>
    <mergeCell ref="O10:T10"/>
    <mergeCell ref="A11:B20"/>
    <mergeCell ref="C11:D20"/>
    <mergeCell ref="E11:F20"/>
    <mergeCell ref="G11:H20"/>
    <mergeCell ref="I11:J20"/>
    <mergeCell ref="K11:L20"/>
    <mergeCell ref="M11:N2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A108F-08E0-4053-9171-945D969B3A4D}">
  <dimension ref="A1:T20"/>
  <sheetViews>
    <sheetView workbookViewId="0">
      <selection activeCell="J29" sqref="J29"/>
    </sheetView>
  </sheetViews>
  <sheetFormatPr defaultRowHeight="15" x14ac:dyDescent="0.25"/>
  <sheetData>
    <row r="1" spans="1:20" x14ac:dyDescent="0.25">
      <c r="A1" s="16" t="s">
        <v>0</v>
      </c>
      <c r="B1" s="16"/>
      <c r="C1" s="16"/>
      <c r="D1" s="16" t="s">
        <v>3</v>
      </c>
      <c r="E1" s="16"/>
      <c r="F1" s="16"/>
      <c r="G1" s="16"/>
      <c r="H1" s="16"/>
      <c r="I1" s="16"/>
    </row>
    <row r="2" spans="1:20" x14ac:dyDescent="0.25">
      <c r="A2" s="16" t="s">
        <v>2</v>
      </c>
      <c r="B2" s="16"/>
      <c r="C2" s="16"/>
      <c r="D2" s="16" t="s">
        <v>21</v>
      </c>
      <c r="E2" s="16"/>
      <c r="F2" s="16"/>
      <c r="G2" s="16"/>
      <c r="H2" s="16"/>
      <c r="I2" s="16"/>
    </row>
    <row r="3" spans="1:20" x14ac:dyDescent="0.25">
      <c r="A3" s="16" t="s">
        <v>1</v>
      </c>
      <c r="B3" s="16"/>
      <c r="C3" s="16"/>
      <c r="D3" s="16">
        <v>1.3</v>
      </c>
      <c r="E3" s="16"/>
      <c r="F3" s="16"/>
      <c r="G3" s="16"/>
      <c r="H3" s="16"/>
      <c r="I3" s="16"/>
    </row>
    <row r="4" spans="1:20" x14ac:dyDescent="0.25">
      <c r="A4" s="16" t="s">
        <v>4</v>
      </c>
      <c r="B4" s="16"/>
      <c r="C4" s="16"/>
      <c r="D4" s="16" t="s">
        <v>8</v>
      </c>
      <c r="E4" s="16"/>
      <c r="F4" s="16"/>
      <c r="G4" s="16"/>
      <c r="H4" s="16"/>
      <c r="I4" s="16"/>
    </row>
    <row r="5" spans="1:20" x14ac:dyDescent="0.25">
      <c r="A5" s="16" t="s">
        <v>5</v>
      </c>
      <c r="B5" s="16"/>
      <c r="C5" s="16"/>
      <c r="D5" s="17">
        <v>46006</v>
      </c>
      <c r="E5" s="16"/>
      <c r="F5" s="16"/>
      <c r="G5" s="16"/>
      <c r="H5" s="16"/>
      <c r="I5" s="16"/>
    </row>
    <row r="6" spans="1:20" x14ac:dyDescent="0.25">
      <c r="A6" s="16" t="s">
        <v>6</v>
      </c>
      <c r="B6" s="16"/>
      <c r="C6" s="16"/>
      <c r="D6" s="16" t="s">
        <v>8</v>
      </c>
      <c r="E6" s="16"/>
      <c r="F6" s="16"/>
      <c r="G6" s="16"/>
      <c r="H6" s="16"/>
      <c r="I6" s="16"/>
    </row>
    <row r="7" spans="1:20" x14ac:dyDescent="0.25">
      <c r="A7" s="16" t="s">
        <v>7</v>
      </c>
      <c r="B7" s="16"/>
      <c r="C7" s="16"/>
      <c r="D7" s="17">
        <v>46012</v>
      </c>
      <c r="E7" s="16"/>
      <c r="F7" s="16"/>
      <c r="G7" s="16"/>
      <c r="H7" s="16"/>
      <c r="I7" s="16"/>
    </row>
    <row r="9" spans="1:20" ht="15.75" thickBot="1" x14ac:dyDescent="0.3"/>
    <row r="10" spans="1:20" ht="15.75" thickTop="1" x14ac:dyDescent="0.25">
      <c r="A10" s="14" t="s">
        <v>9</v>
      </c>
      <c r="B10" s="14"/>
      <c r="C10" s="14" t="s">
        <v>10</v>
      </c>
      <c r="D10" s="14"/>
      <c r="E10" s="14" t="s">
        <v>11</v>
      </c>
      <c r="F10" s="14"/>
      <c r="G10" s="14" t="s">
        <v>12</v>
      </c>
      <c r="H10" s="14"/>
      <c r="I10" s="14" t="s">
        <v>13</v>
      </c>
      <c r="J10" s="14"/>
      <c r="K10" s="14" t="s">
        <v>14</v>
      </c>
      <c r="L10" s="14"/>
      <c r="M10" s="14" t="s">
        <v>15</v>
      </c>
      <c r="N10" s="14"/>
      <c r="O10" s="14" t="s">
        <v>16</v>
      </c>
      <c r="P10" s="14"/>
      <c r="Q10" s="14"/>
      <c r="R10" s="14"/>
      <c r="S10" s="14"/>
      <c r="T10" s="14"/>
    </row>
    <row r="11" spans="1:20" x14ac:dyDescent="0.25">
      <c r="A11" s="15">
        <v>5</v>
      </c>
      <c r="B11" s="15"/>
      <c r="C11" s="15" t="s">
        <v>42</v>
      </c>
      <c r="D11" s="15"/>
      <c r="E11" s="15" t="s">
        <v>195</v>
      </c>
      <c r="F11" s="15"/>
      <c r="G11" s="15" t="s">
        <v>43</v>
      </c>
      <c r="H11" s="15"/>
      <c r="I11" s="15" t="s">
        <v>44</v>
      </c>
      <c r="J11" s="15"/>
      <c r="K11" s="15" t="s">
        <v>44</v>
      </c>
      <c r="L11" s="15"/>
      <c r="M11" s="15" t="s">
        <v>25</v>
      </c>
      <c r="N11" s="15"/>
      <c r="O11" s="15" t="s">
        <v>45</v>
      </c>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sheetData>
  <mergeCells count="30">
    <mergeCell ref="A1:C1"/>
    <mergeCell ref="D1:I1"/>
    <mergeCell ref="A2:C2"/>
    <mergeCell ref="D2:I2"/>
    <mergeCell ref="A3:C3"/>
    <mergeCell ref="D3:I3"/>
    <mergeCell ref="A4:C4"/>
    <mergeCell ref="D4:I4"/>
    <mergeCell ref="A5:C5"/>
    <mergeCell ref="D5:I5"/>
    <mergeCell ref="A6:C6"/>
    <mergeCell ref="D6:I6"/>
    <mergeCell ref="A7:C7"/>
    <mergeCell ref="D7:I7"/>
    <mergeCell ref="A10:B10"/>
    <mergeCell ref="C10:D10"/>
    <mergeCell ref="E10:F10"/>
    <mergeCell ref="G10:H10"/>
    <mergeCell ref="I10:J10"/>
    <mergeCell ref="O11:T20"/>
    <mergeCell ref="K10:L10"/>
    <mergeCell ref="M10:N10"/>
    <mergeCell ref="O10:T10"/>
    <mergeCell ref="A11:B20"/>
    <mergeCell ref="C11:D20"/>
    <mergeCell ref="E11:F20"/>
    <mergeCell ref="G11:H20"/>
    <mergeCell ref="I11:J20"/>
    <mergeCell ref="K11:L20"/>
    <mergeCell ref="M11:N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D187-7EF6-4337-BED3-C20F3B960A43}">
  <dimension ref="A1:T20"/>
  <sheetViews>
    <sheetView tabSelected="1" workbookViewId="0">
      <selection activeCell="V28" sqref="V28"/>
    </sheetView>
  </sheetViews>
  <sheetFormatPr defaultRowHeight="15" x14ac:dyDescent="0.25"/>
  <sheetData>
    <row r="1" spans="1:20" x14ac:dyDescent="0.25">
      <c r="A1" s="16" t="s">
        <v>0</v>
      </c>
      <c r="B1" s="16"/>
      <c r="C1" s="16"/>
      <c r="D1" s="16" t="s">
        <v>3</v>
      </c>
      <c r="E1" s="16"/>
      <c r="F1" s="16"/>
      <c r="G1" s="16"/>
      <c r="H1" s="16"/>
      <c r="I1" s="16"/>
    </row>
    <row r="2" spans="1:20" x14ac:dyDescent="0.25">
      <c r="A2" s="16" t="s">
        <v>2</v>
      </c>
      <c r="B2" s="16"/>
      <c r="C2" s="16"/>
      <c r="D2" s="16" t="s">
        <v>46</v>
      </c>
      <c r="E2" s="16"/>
      <c r="F2" s="16"/>
      <c r="G2" s="16"/>
      <c r="H2" s="16"/>
      <c r="I2" s="16"/>
    </row>
    <row r="3" spans="1:20" x14ac:dyDescent="0.25">
      <c r="A3" s="16" t="s">
        <v>1</v>
      </c>
      <c r="B3" s="16"/>
      <c r="C3" s="16"/>
      <c r="D3" s="16">
        <v>1.3</v>
      </c>
      <c r="E3" s="16"/>
      <c r="F3" s="16"/>
      <c r="G3" s="16"/>
      <c r="H3" s="16"/>
      <c r="I3" s="16"/>
    </row>
    <row r="4" spans="1:20" x14ac:dyDescent="0.25">
      <c r="A4" s="16" t="s">
        <v>4</v>
      </c>
      <c r="B4" s="16"/>
      <c r="C4" s="16"/>
      <c r="D4" s="16" t="s">
        <v>8</v>
      </c>
      <c r="E4" s="16"/>
      <c r="F4" s="16"/>
      <c r="G4" s="16"/>
      <c r="H4" s="16"/>
      <c r="I4" s="16"/>
    </row>
    <row r="5" spans="1:20" x14ac:dyDescent="0.25">
      <c r="A5" s="16" t="s">
        <v>5</v>
      </c>
      <c r="B5" s="16"/>
      <c r="C5" s="16"/>
      <c r="D5" s="17">
        <v>46006</v>
      </c>
      <c r="E5" s="16"/>
      <c r="F5" s="16"/>
      <c r="G5" s="16"/>
      <c r="H5" s="16"/>
      <c r="I5" s="16"/>
    </row>
    <row r="6" spans="1:20" x14ac:dyDescent="0.25">
      <c r="A6" s="16" t="s">
        <v>6</v>
      </c>
      <c r="B6" s="16"/>
      <c r="C6" s="16"/>
      <c r="D6" s="16" t="s">
        <v>8</v>
      </c>
      <c r="E6" s="16"/>
      <c r="F6" s="16"/>
      <c r="G6" s="16"/>
      <c r="H6" s="16"/>
      <c r="I6" s="16"/>
    </row>
    <row r="7" spans="1:20" x14ac:dyDescent="0.25">
      <c r="A7" s="16" t="s">
        <v>7</v>
      </c>
      <c r="B7" s="16"/>
      <c r="C7" s="16"/>
      <c r="D7" s="17">
        <v>46010</v>
      </c>
      <c r="E7" s="16"/>
      <c r="F7" s="16"/>
      <c r="G7" s="16"/>
      <c r="H7" s="16"/>
      <c r="I7" s="16"/>
    </row>
    <row r="9" spans="1:20" ht="15.75" thickBot="1" x14ac:dyDescent="0.3"/>
    <row r="10" spans="1:20" ht="15.75" thickTop="1" x14ac:dyDescent="0.25">
      <c r="A10" s="14" t="s">
        <v>9</v>
      </c>
      <c r="B10" s="14"/>
      <c r="C10" s="14" t="s">
        <v>10</v>
      </c>
      <c r="D10" s="14"/>
      <c r="E10" s="14" t="s">
        <v>11</v>
      </c>
      <c r="F10" s="14"/>
      <c r="G10" s="14" t="s">
        <v>12</v>
      </c>
      <c r="H10" s="14"/>
      <c r="I10" s="14" t="s">
        <v>13</v>
      </c>
      <c r="J10" s="14"/>
      <c r="K10" s="14" t="s">
        <v>14</v>
      </c>
      <c r="L10" s="14"/>
      <c r="M10" s="14" t="s">
        <v>15</v>
      </c>
      <c r="N10" s="14"/>
      <c r="O10" s="14" t="s">
        <v>16</v>
      </c>
      <c r="P10" s="14"/>
      <c r="Q10" s="14"/>
      <c r="R10" s="14"/>
      <c r="S10" s="14"/>
      <c r="T10" s="14"/>
    </row>
    <row r="11" spans="1:20" x14ac:dyDescent="0.25">
      <c r="A11" s="15">
        <v>6</v>
      </c>
      <c r="B11" s="15"/>
      <c r="C11" s="15" t="s">
        <v>47</v>
      </c>
      <c r="D11" s="15"/>
      <c r="E11" s="15" t="s">
        <v>49</v>
      </c>
      <c r="F11" s="15"/>
      <c r="G11" s="15" t="s">
        <v>48</v>
      </c>
      <c r="H11" s="15"/>
      <c r="I11" s="15" t="s">
        <v>50</v>
      </c>
      <c r="J11" s="15"/>
      <c r="K11" s="15" t="s">
        <v>50</v>
      </c>
      <c r="L11" s="15"/>
      <c r="M11" s="15" t="s">
        <v>25</v>
      </c>
      <c r="N11" s="15"/>
      <c r="O11" s="15" t="s">
        <v>51</v>
      </c>
      <c r="P11" s="15"/>
      <c r="Q11" s="15"/>
      <c r="R11" s="15"/>
      <c r="S11" s="15"/>
      <c r="T11" s="15"/>
    </row>
    <row r="12" spans="1:20" x14ac:dyDescent="0.25">
      <c r="A12" s="15"/>
      <c r="B12" s="15"/>
      <c r="C12" s="15"/>
      <c r="D12" s="15"/>
      <c r="E12" s="15"/>
      <c r="F12" s="15"/>
      <c r="G12" s="15"/>
      <c r="H12" s="15"/>
      <c r="I12" s="15"/>
      <c r="J12" s="15"/>
      <c r="K12" s="15"/>
      <c r="L12" s="15"/>
      <c r="M12" s="15"/>
      <c r="N12" s="15"/>
      <c r="O12" s="15"/>
      <c r="P12" s="15"/>
      <c r="Q12" s="15"/>
      <c r="R12" s="15"/>
      <c r="S12" s="15"/>
      <c r="T12" s="15"/>
    </row>
    <row r="13" spans="1:20" x14ac:dyDescent="0.25">
      <c r="A13" s="15"/>
      <c r="B13" s="15"/>
      <c r="C13" s="15"/>
      <c r="D13" s="15"/>
      <c r="E13" s="15"/>
      <c r="F13" s="15"/>
      <c r="G13" s="15"/>
      <c r="H13" s="15"/>
      <c r="I13" s="15"/>
      <c r="J13" s="15"/>
      <c r="K13" s="15"/>
      <c r="L13" s="15"/>
      <c r="M13" s="15"/>
      <c r="N13" s="15"/>
      <c r="O13" s="15"/>
      <c r="P13" s="15"/>
      <c r="Q13" s="15"/>
      <c r="R13" s="15"/>
      <c r="S13" s="15"/>
      <c r="T13" s="15"/>
    </row>
    <row r="14" spans="1:20" x14ac:dyDescent="0.25">
      <c r="A14" s="15"/>
      <c r="B14" s="15"/>
      <c r="C14" s="15"/>
      <c r="D14" s="15"/>
      <c r="E14" s="15"/>
      <c r="F14" s="15"/>
      <c r="G14" s="15"/>
      <c r="H14" s="15"/>
      <c r="I14" s="15"/>
      <c r="J14" s="15"/>
      <c r="K14" s="15"/>
      <c r="L14" s="15"/>
      <c r="M14" s="15"/>
      <c r="N14" s="15"/>
      <c r="O14" s="15"/>
      <c r="P14" s="15"/>
      <c r="Q14" s="15"/>
      <c r="R14" s="15"/>
      <c r="S14" s="15"/>
      <c r="T14" s="15"/>
    </row>
    <row r="15" spans="1:20" x14ac:dyDescent="0.25">
      <c r="A15" s="15"/>
      <c r="B15" s="15"/>
      <c r="C15" s="15"/>
      <c r="D15" s="15"/>
      <c r="E15" s="15"/>
      <c r="F15" s="15"/>
      <c r="G15" s="15"/>
      <c r="H15" s="15"/>
      <c r="I15" s="15"/>
      <c r="J15" s="15"/>
      <c r="K15" s="15"/>
      <c r="L15" s="15"/>
      <c r="M15" s="15"/>
      <c r="N15" s="15"/>
      <c r="O15" s="15"/>
      <c r="P15" s="15"/>
      <c r="Q15" s="15"/>
      <c r="R15" s="15"/>
      <c r="S15" s="15"/>
      <c r="T15" s="15"/>
    </row>
    <row r="16" spans="1:20" x14ac:dyDescent="0.25">
      <c r="A16" s="15"/>
      <c r="B16" s="15"/>
      <c r="C16" s="15"/>
      <c r="D16" s="15"/>
      <c r="E16" s="15"/>
      <c r="F16" s="15"/>
      <c r="G16" s="15"/>
      <c r="H16" s="15"/>
      <c r="I16" s="15"/>
      <c r="J16" s="15"/>
      <c r="K16" s="15"/>
      <c r="L16" s="15"/>
      <c r="M16" s="15"/>
      <c r="N16" s="15"/>
      <c r="O16" s="15"/>
      <c r="P16" s="15"/>
      <c r="Q16" s="15"/>
      <c r="R16" s="15"/>
      <c r="S16" s="15"/>
      <c r="T16" s="15"/>
    </row>
    <row r="17" spans="1:20" x14ac:dyDescent="0.25">
      <c r="A17" s="15"/>
      <c r="B17" s="15"/>
      <c r="C17" s="15"/>
      <c r="D17" s="15"/>
      <c r="E17" s="15"/>
      <c r="F17" s="15"/>
      <c r="G17" s="15"/>
      <c r="H17" s="15"/>
      <c r="I17" s="15"/>
      <c r="J17" s="15"/>
      <c r="K17" s="15"/>
      <c r="L17" s="15"/>
      <c r="M17" s="15"/>
      <c r="N17" s="15"/>
      <c r="O17" s="15"/>
      <c r="P17" s="15"/>
      <c r="Q17" s="15"/>
      <c r="R17" s="15"/>
      <c r="S17" s="15"/>
      <c r="T17" s="15"/>
    </row>
    <row r="18" spans="1:20" x14ac:dyDescent="0.25">
      <c r="A18" s="15"/>
      <c r="B18" s="15"/>
      <c r="C18" s="15"/>
      <c r="D18" s="15"/>
      <c r="E18" s="15"/>
      <c r="F18" s="15"/>
      <c r="G18" s="15"/>
      <c r="H18" s="15"/>
      <c r="I18" s="15"/>
      <c r="J18" s="15"/>
      <c r="K18" s="15"/>
      <c r="L18" s="15"/>
      <c r="M18" s="15"/>
      <c r="N18" s="15"/>
      <c r="O18" s="15"/>
      <c r="P18" s="15"/>
      <c r="Q18" s="15"/>
      <c r="R18" s="15"/>
      <c r="S18" s="15"/>
      <c r="T18" s="15"/>
    </row>
    <row r="19" spans="1:20" x14ac:dyDescent="0.25">
      <c r="A19" s="15"/>
      <c r="B19" s="15"/>
      <c r="C19" s="15"/>
      <c r="D19" s="15"/>
      <c r="E19" s="15"/>
      <c r="F19" s="15"/>
      <c r="G19" s="15"/>
      <c r="H19" s="15"/>
      <c r="I19" s="15"/>
      <c r="J19" s="15"/>
      <c r="K19" s="15"/>
      <c r="L19" s="15"/>
      <c r="M19" s="15"/>
      <c r="N19" s="15"/>
      <c r="O19" s="15"/>
      <c r="P19" s="15"/>
      <c r="Q19" s="15"/>
      <c r="R19" s="15"/>
      <c r="S19" s="15"/>
      <c r="T19" s="15"/>
    </row>
    <row r="20" spans="1:20" x14ac:dyDescent="0.25">
      <c r="A20" s="15"/>
      <c r="B20" s="15"/>
      <c r="C20" s="15"/>
      <c r="D20" s="15"/>
      <c r="E20" s="15"/>
      <c r="F20" s="15"/>
      <c r="G20" s="15"/>
      <c r="H20" s="15"/>
      <c r="I20" s="15"/>
      <c r="J20" s="15"/>
      <c r="K20" s="15"/>
      <c r="L20" s="15"/>
      <c r="M20" s="15"/>
      <c r="N20" s="15"/>
      <c r="O20" s="15"/>
      <c r="P20" s="15"/>
      <c r="Q20" s="15"/>
      <c r="R20" s="15"/>
      <c r="S20" s="15"/>
      <c r="T20" s="15"/>
    </row>
  </sheetData>
  <mergeCells count="30">
    <mergeCell ref="A1:C1"/>
    <mergeCell ref="D1:I1"/>
    <mergeCell ref="A2:C2"/>
    <mergeCell ref="D2:I2"/>
    <mergeCell ref="A3:C3"/>
    <mergeCell ref="D3:I3"/>
    <mergeCell ref="A4:C4"/>
    <mergeCell ref="D4:I4"/>
    <mergeCell ref="A5:C5"/>
    <mergeCell ref="D5:I5"/>
    <mergeCell ref="A6:C6"/>
    <mergeCell ref="D6:I6"/>
    <mergeCell ref="A7:C7"/>
    <mergeCell ref="D7:I7"/>
    <mergeCell ref="A10:B10"/>
    <mergeCell ref="C10:D10"/>
    <mergeCell ref="E10:F10"/>
    <mergeCell ref="G10:H10"/>
    <mergeCell ref="I10:J10"/>
    <mergeCell ref="O11:T20"/>
    <mergeCell ref="K10:L10"/>
    <mergeCell ref="M10:N10"/>
    <mergeCell ref="O10:T10"/>
    <mergeCell ref="A11:B20"/>
    <mergeCell ref="C11:D20"/>
    <mergeCell ref="E11:F20"/>
    <mergeCell ref="G11:H20"/>
    <mergeCell ref="I11:J20"/>
    <mergeCell ref="K11:L20"/>
    <mergeCell ref="M11:N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User Stories Backlog</vt:lpstr>
      <vt:lpstr>Non-Functional Requirements</vt:lpstr>
      <vt:lpstr>Technical Requirements</vt:lpstr>
      <vt:lpstr>Implementation Plan</vt:lpstr>
      <vt:lpstr>Test Case #1</vt:lpstr>
      <vt:lpstr>Test Case #2</vt:lpstr>
      <vt:lpstr>Test Case #3</vt:lpstr>
      <vt:lpstr>Test Case #4</vt:lpstr>
      <vt:lpstr>Test Case #5</vt:lpstr>
      <vt:lpstr>Test Case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Stanfill</dc:creator>
  <cp:lastModifiedBy>Nicholas Stanfill</cp:lastModifiedBy>
  <dcterms:created xsi:type="dcterms:W3CDTF">2025-12-21T12:10:30Z</dcterms:created>
  <dcterms:modified xsi:type="dcterms:W3CDTF">2026-01-11T07:50:45Z</dcterms:modified>
</cp:coreProperties>
</file>